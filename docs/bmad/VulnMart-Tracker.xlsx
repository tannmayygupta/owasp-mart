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Platform" sheetId="3" state="visible" r:id="rId3"/>
    <sheet xmlns:r="http://schemas.openxmlformats.org/officeDocument/2006/relationships" name="Lab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Requirements" sheetId="6" state="visible" r:id="rId6"/>
  </sheets>
  <definedNames>
    <definedName name="_xlnm._FilterDatabase" localSheetId="2" hidden="1">'Platform'!$A$4:$Q$23</definedName>
    <definedName name="_xlnm._FilterDatabase" localSheetId="3" hidden="1">'Lab'!$A$4:$Q$22</definedName>
    <definedName name="_xlnm._FilterDatabase" localSheetId="4" hidden="1">'Target'!$A$4:$Q$19</definedName>
    <definedName name="_xlnm._FilterDatabase" localSheetId="5" hidden="1">'Requirements'!$A$4:$H$174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i val="1"/>
      <color rgb="00777777"/>
      <sz val="10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EEEE"/>
      </patternFill>
    </fill>
    <fill>
      <patternFill patternType="solid">
        <fgColor rgb="00DDEBF7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5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6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VulnMart project tracker (Excel)</t>
        </is>
      </c>
    </row>
    <row r="2">
      <c r="A2" s="2" t="inlineStr">
        <is>
          <t>Seeded once on 2026-10-08 from docs/bmad/ and docs/prd/PRD.md. After that it is maintained BY HAND (decision D-30): there is no script and no sync.</t>
        </is>
      </c>
    </row>
    <row r="3">
      <c r="A3" s="2" t="inlineStr"/>
    </row>
    <row r="4">
      <c r="A4" s="3" t="inlineStr">
        <is>
          <t>How the two trackers relate</t>
        </is>
      </c>
    </row>
    <row r="5">
      <c r="A5" s="2" t="inlineStr">
        <is>
          <t>1. The markdown trackers under docs/bmad/initiative-&lt;slug&gt;/ are updated automatically by the Claude rule and the commit gate when a story finishes. They are the detailed record.</t>
        </is>
      </c>
    </row>
    <row r="6">
      <c r="A6" s="2" t="inlineStr">
        <is>
          <t>2. This workbook is the overview people look at and edit. When a story changes state, also update its row here (Status, dates, tests, links). The gate does not check the workbook.</t>
        </is>
      </c>
    </row>
    <row r="7">
      <c r="A7" s="2" t="inlineStr">
        <is>
          <t>3. If the two ever disagree, the markdown tracker and the test results win; fix the workbook.</t>
        </is>
      </c>
    </row>
    <row r="8">
      <c r="A8" s="2" t="inlineStr"/>
    </row>
    <row r="9">
      <c r="A9" s="3" t="inlineStr">
        <is>
          <t>Which cells you edit</t>
        </is>
      </c>
    </row>
    <row r="10">
      <c r="A10" s="2" t="inlineStr">
        <is>
          <t>Yellow cells (Status, Assignee, Started, Finished, Tests run and result, Dev-log entry, Plan file, Notes and blockers; on the Requirements sheet: Status, Test evidence, Notes). Everything else is fixed or a formula.</t>
        </is>
      </c>
    </row>
    <row r="11">
      <c r="A11" s="2" t="inlineStr">
        <is>
          <t>Status values for epics and stories: planned, backlog, in-progress, review, done, dropped (BMAD states). Requirement statuses: Not started, In progress, Implemented, Verified, Blocked.</t>
        </is>
      </c>
    </row>
    <row r="12">
      <c r="A12" s="2" t="inlineStr">
        <is>
          <t>Add a row for each new story below its epic's row when a developer creates it (BMAD: one story at a time). Keep the Level column as 'Story' so the Overview counts it. Rows with Level 'Example' are ignored.</t>
        </is>
      </c>
    </row>
    <row r="13">
      <c r="A13" s="2" t="inlineStr">
        <is>
          <t>The grey row under each header is an EXAMPLE of a finished row; delete or ignore it.</t>
        </is>
      </c>
    </row>
    <row r="14">
      <c r="A14" s="2" t="inlineStr"/>
    </row>
    <row r="15">
      <c r="A15" s="3" t="inlineStr">
        <is>
          <t>Sheets</t>
        </is>
      </c>
    </row>
    <row r="16">
      <c r="A16" s="2" t="inlineStr">
        <is>
          <t>Overview: counts and percentages (formulas). Platform, Lab, Target: one sheet per developer (Akshay, Tanmay, Sahil). Requirements: all 170 PRD functional requirements with owner stream and epic.</t>
        </is>
      </c>
    </row>
    <row r="17">
      <c r="A17" s="2" t="inlineStr"/>
    </row>
    <row r="18">
      <c r="A18" s="3" t="inlineStr">
        <is>
          <t>Assumptions</t>
        </is>
      </c>
    </row>
    <row r="19">
      <c r="A19" s="2" t="inlineStr">
        <is>
          <t>Epics start as 'planned'. Only the sprint-zero epic of each stream has stories yet; the other epics get their stories one at a time. 'Stories done %' = done / (stories planned - dropped).</t>
        </is>
      </c>
    </row>
    <row r="20">
      <c r="A20" s="2" t="inlineStr">
        <is>
          <t>Source of every row: docs/bmad trees (drafted 2026-10-08, pending the user's approval) and the PRD requirement headings.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VulnMart project overview</t>
        </is>
      </c>
    </row>
    <row r="2">
      <c r="A2" s="5" t="inlineStr">
        <is>
          <t>All numbers are formulas over the developer sheets and the Requirements sheet. Nothing to type here.</t>
        </is>
      </c>
    </row>
    <row r="4">
      <c r="A4" s="6" t="inlineStr">
        <is>
          <t>Stream</t>
        </is>
      </c>
      <c r="B4" s="6" t="inlineStr">
        <is>
          <t>Developer</t>
        </is>
      </c>
      <c r="C4" s="6" t="inlineStr">
        <is>
          <t>Epics</t>
        </is>
      </c>
      <c r="D4" s="6" t="inlineStr">
        <is>
          <t>Stories planned</t>
        </is>
      </c>
      <c r="E4" s="6" t="inlineStr">
        <is>
          <t>Planned</t>
        </is>
      </c>
      <c r="F4" s="6" t="inlineStr">
        <is>
          <t>Backlog</t>
        </is>
      </c>
      <c r="G4" s="6" t="inlineStr">
        <is>
          <t>In-Progress</t>
        </is>
      </c>
      <c r="H4" s="6" t="inlineStr">
        <is>
          <t>Review</t>
        </is>
      </c>
      <c r="I4" s="6" t="inlineStr">
        <is>
          <t>Done</t>
        </is>
      </c>
      <c r="J4" s="6" t="inlineStr">
        <is>
          <t>Dropped</t>
        </is>
      </c>
      <c r="K4" s="6" t="inlineStr">
        <is>
          <t>Stories done %</t>
        </is>
      </c>
    </row>
    <row r="5">
      <c r="A5" s="7" t="inlineStr">
        <is>
          <t>Platform</t>
        </is>
      </c>
      <c r="B5" s="7" t="inlineStr">
        <is>
          <t>Akshay Gupta</t>
        </is>
      </c>
      <c r="C5" s="7">
        <f>COUNTIF(Platform!$A$6:$A$500,"Epic")</f>
        <v/>
      </c>
      <c r="D5" s="7">
        <f>COUNTIF(Platform!$A$6:$A$500,"Story")</f>
        <v/>
      </c>
      <c r="E5" s="7">
        <f>COUNTIFS(Platform!$A$6:$A$500,"Story",Platform!$J$6:$J$500,"planned")</f>
        <v/>
      </c>
      <c r="F5" s="7">
        <f>COUNTIFS(Platform!$A$6:$A$500,"Story",Platform!$J$6:$J$500,"backlog")</f>
        <v/>
      </c>
      <c r="G5" s="7">
        <f>COUNTIFS(Platform!$A$6:$A$500,"Story",Platform!$J$6:$J$500,"in-progress")</f>
        <v/>
      </c>
      <c r="H5" s="7">
        <f>COUNTIFS(Platform!$A$6:$A$500,"Story",Platform!$J$6:$J$500,"review")</f>
        <v/>
      </c>
      <c r="I5" s="7">
        <f>COUNTIFS(Platform!$A$6:$A$500,"Story",Platform!$J$6:$J$500,"done")</f>
        <v/>
      </c>
      <c r="J5" s="7">
        <f>COUNTIFS(Platform!$A$6:$A$500,"Story",Platform!$J$6:$J$500,"dropped")</f>
        <v/>
      </c>
      <c r="K5" s="8">
        <f>IFERROR(I5/(D5-J5),0)</f>
        <v/>
      </c>
    </row>
    <row r="6">
      <c r="A6" s="7" t="inlineStr">
        <is>
          <t>Lab</t>
        </is>
      </c>
      <c r="B6" s="7" t="inlineStr">
        <is>
          <t>Tanmay Gupta</t>
        </is>
      </c>
      <c r="C6" s="7">
        <f>COUNTIF(Lab!$A$6:$A$500,"Epic")</f>
        <v/>
      </c>
      <c r="D6" s="7">
        <f>COUNTIF(Lab!$A$6:$A$500,"Story")</f>
        <v/>
      </c>
      <c r="E6" s="7">
        <f>COUNTIFS(Lab!$A$6:$A$500,"Story",Lab!$J$6:$J$500,"planned")</f>
        <v/>
      </c>
      <c r="F6" s="7">
        <f>COUNTIFS(Lab!$A$6:$A$500,"Story",Lab!$J$6:$J$500,"backlog")</f>
        <v/>
      </c>
      <c r="G6" s="7">
        <f>COUNTIFS(Lab!$A$6:$A$500,"Story",Lab!$J$6:$J$500,"in-progress")</f>
        <v/>
      </c>
      <c r="H6" s="7">
        <f>COUNTIFS(Lab!$A$6:$A$500,"Story",Lab!$J$6:$J$500,"review")</f>
        <v/>
      </c>
      <c r="I6" s="7">
        <f>COUNTIFS(Lab!$A$6:$A$500,"Story",Lab!$J$6:$J$500,"done")</f>
        <v/>
      </c>
      <c r="J6" s="7">
        <f>COUNTIFS(Lab!$A$6:$A$500,"Story",Lab!$J$6:$J$500,"dropped")</f>
        <v/>
      </c>
      <c r="K6" s="8">
        <f>IFERROR(I6/(D6-J6),0)</f>
        <v/>
      </c>
    </row>
    <row r="7">
      <c r="A7" s="7" t="inlineStr">
        <is>
          <t>Target</t>
        </is>
      </c>
      <c r="B7" s="7" t="inlineStr">
        <is>
          <t>Sahil Roy</t>
        </is>
      </c>
      <c r="C7" s="7">
        <f>COUNTIF(Target!$A$6:$A$500,"Epic")</f>
        <v/>
      </c>
      <c r="D7" s="7">
        <f>COUNTIF(Target!$A$6:$A$500,"Story")</f>
        <v/>
      </c>
      <c r="E7" s="7">
        <f>COUNTIFS(Target!$A$6:$A$500,"Story",Target!$J$6:$J$500,"planned")</f>
        <v/>
      </c>
      <c r="F7" s="7">
        <f>COUNTIFS(Target!$A$6:$A$500,"Story",Target!$J$6:$J$500,"backlog")</f>
        <v/>
      </c>
      <c r="G7" s="7">
        <f>COUNTIFS(Target!$A$6:$A$500,"Story",Target!$J$6:$J$500,"in-progress")</f>
        <v/>
      </c>
      <c r="H7" s="7">
        <f>COUNTIFS(Target!$A$6:$A$500,"Story",Target!$J$6:$J$500,"review")</f>
        <v/>
      </c>
      <c r="I7" s="7">
        <f>COUNTIFS(Target!$A$6:$A$500,"Story",Target!$J$6:$J$500,"done")</f>
        <v/>
      </c>
      <c r="J7" s="7">
        <f>COUNTIFS(Target!$A$6:$A$500,"Story",Target!$J$6:$J$500,"dropped")</f>
        <v/>
      </c>
      <c r="K7" s="8">
        <f>IFERROR(I7/(D7-J7),0)</f>
        <v/>
      </c>
    </row>
    <row r="8">
      <c r="A8" s="9" t="inlineStr">
        <is>
          <t>Total</t>
        </is>
      </c>
      <c r="B8" s="9" t="n"/>
      <c r="C8" s="9">
        <f>SUM(C5:C7)</f>
        <v/>
      </c>
      <c r="D8" s="9">
        <f>SUM(D5:D7)</f>
        <v/>
      </c>
      <c r="E8" s="9">
        <f>SUM(E5:E7)</f>
        <v/>
      </c>
      <c r="F8" s="9">
        <f>SUM(F5:F7)</f>
        <v/>
      </c>
      <c r="G8" s="9">
        <f>SUM(G5:G7)</f>
        <v/>
      </c>
      <c r="H8" s="9">
        <f>SUM(H5:H7)</f>
        <v/>
      </c>
      <c r="I8" s="9">
        <f>SUM(I5:I7)</f>
        <v/>
      </c>
      <c r="J8" s="9">
        <f>SUM(J5:J7)</f>
        <v/>
      </c>
      <c r="K8" s="10">
        <f>IFERROR(I8/(D8-J8),0)</f>
        <v/>
      </c>
    </row>
    <row r="10">
      <c r="A10" s="11" t="inlineStr">
        <is>
          <t>Requirements (from the Requirements sheet)</t>
        </is>
      </c>
    </row>
    <row r="11">
      <c r="A11" s="6" t="inlineStr">
        <is>
          <t>Stream</t>
        </is>
      </c>
      <c r="B11" s="6" t="inlineStr">
        <is>
          <t>Total</t>
        </is>
      </c>
      <c r="C11" s="6" t="inlineStr">
        <is>
          <t>Not started</t>
        </is>
      </c>
      <c r="D11" s="6" t="inlineStr">
        <is>
          <t>In progress</t>
        </is>
      </c>
      <c r="E11" s="6" t="inlineStr">
        <is>
          <t>Implemented</t>
        </is>
      </c>
      <c r="F11" s="6" t="inlineStr">
        <is>
          <t>Verified</t>
        </is>
      </c>
      <c r="G11" s="6" t="inlineStr">
        <is>
          <t>Blocked</t>
        </is>
      </c>
      <c r="H11" s="6" t="inlineStr">
        <is>
          <t>Verified %</t>
        </is>
      </c>
    </row>
    <row r="12">
      <c r="A12" s="7" t="inlineStr">
        <is>
          <t>Platform</t>
        </is>
      </c>
      <c r="B12" s="7">
        <f>COUNTIF(Requirements!$C$5:$C$174,"Platform")</f>
        <v/>
      </c>
      <c r="C12" s="7">
        <f>COUNTIFS(Requirements!$C$5:$C$174,"Platform",Requirements!$F$5:$F$174,"Not started")</f>
        <v/>
      </c>
      <c r="D12" s="7">
        <f>COUNTIFS(Requirements!$C$5:$C$174,"Platform",Requirements!$F$5:$F$174,"In progress")</f>
        <v/>
      </c>
      <c r="E12" s="7">
        <f>COUNTIFS(Requirements!$C$5:$C$174,"Platform",Requirements!$F$5:$F$174,"Implemented")</f>
        <v/>
      </c>
      <c r="F12" s="7">
        <f>COUNTIFS(Requirements!$C$5:$C$174,"Platform",Requirements!$F$5:$F$174,"Verified")</f>
        <v/>
      </c>
      <c r="G12" s="7">
        <f>COUNTIFS(Requirements!$C$5:$C$174,"Platform",Requirements!$F$5:$F$174,"Blocked")</f>
        <v/>
      </c>
      <c r="H12" s="8">
        <f>IFERROR(F12/B12,0)</f>
        <v/>
      </c>
    </row>
    <row r="13">
      <c r="A13" s="7" t="inlineStr">
        <is>
          <t>Lab</t>
        </is>
      </c>
      <c r="B13" s="7">
        <f>COUNTIF(Requirements!$C$5:$C$174,"Lab")</f>
        <v/>
      </c>
      <c r="C13" s="7">
        <f>COUNTIFS(Requirements!$C$5:$C$174,"Lab",Requirements!$F$5:$F$174,"Not started")</f>
        <v/>
      </c>
      <c r="D13" s="7">
        <f>COUNTIFS(Requirements!$C$5:$C$174,"Lab",Requirements!$F$5:$F$174,"In progress")</f>
        <v/>
      </c>
      <c r="E13" s="7">
        <f>COUNTIFS(Requirements!$C$5:$C$174,"Lab",Requirements!$F$5:$F$174,"Implemented")</f>
        <v/>
      </c>
      <c r="F13" s="7">
        <f>COUNTIFS(Requirements!$C$5:$C$174,"Lab",Requirements!$F$5:$F$174,"Verified")</f>
        <v/>
      </c>
      <c r="G13" s="7">
        <f>COUNTIFS(Requirements!$C$5:$C$174,"Lab",Requirements!$F$5:$F$174,"Blocked")</f>
        <v/>
      </c>
      <c r="H13" s="8">
        <f>IFERROR(F13/B13,0)</f>
        <v/>
      </c>
    </row>
    <row r="14">
      <c r="A14" s="7" t="inlineStr">
        <is>
          <t>Target</t>
        </is>
      </c>
      <c r="B14" s="7">
        <f>COUNTIF(Requirements!$C$5:$C$174,"Target")</f>
        <v/>
      </c>
      <c r="C14" s="7">
        <f>COUNTIFS(Requirements!$C$5:$C$174,"Target",Requirements!$F$5:$F$174,"Not started")</f>
        <v/>
      </c>
      <c r="D14" s="7">
        <f>COUNTIFS(Requirements!$C$5:$C$174,"Target",Requirements!$F$5:$F$174,"In progress")</f>
        <v/>
      </c>
      <c r="E14" s="7">
        <f>COUNTIFS(Requirements!$C$5:$C$174,"Target",Requirements!$F$5:$F$174,"Implemented")</f>
        <v/>
      </c>
      <c r="F14" s="7">
        <f>COUNTIFS(Requirements!$C$5:$C$174,"Target",Requirements!$F$5:$F$174,"Verified")</f>
        <v/>
      </c>
      <c r="G14" s="7">
        <f>COUNTIFS(Requirements!$C$5:$C$174,"Target",Requirements!$F$5:$F$174,"Blocked")</f>
        <v/>
      </c>
      <c r="H14" s="8">
        <f>IFERROR(F14/B14,0)</f>
        <v/>
      </c>
    </row>
    <row r="15">
      <c r="A15" s="9" t="inlineStr">
        <is>
          <t>Total</t>
        </is>
      </c>
      <c r="B15" s="9">
        <f>SUM(B12:B14)</f>
        <v/>
      </c>
      <c r="C15" s="9">
        <f>SUM(C12:C14)</f>
        <v/>
      </c>
      <c r="D15" s="9">
        <f>SUM(D12:D14)</f>
        <v/>
      </c>
      <c r="E15" s="9">
        <f>SUM(E12:E14)</f>
        <v/>
      </c>
      <c r="F15" s="9">
        <f>SUM(F12:F14)</f>
        <v/>
      </c>
      <c r="G15" s="9">
        <f>SUM(G12:G14)</f>
        <v/>
      </c>
      <c r="H15" s="10">
        <f>IFERROR(F15/B15,0)</f>
        <v/>
      </c>
    </row>
    <row r="17">
      <c r="A17" s="5" t="inlineStr">
        <is>
          <t>Check: requirements total should equal 170 (PRD).</t>
        </is>
      </c>
      <c r="F17" s="11">
        <f>IF(B15=170,"OK","MISMATCH")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7" customWidth="1" min="3" max="3"/>
    <col width="44" customWidth="1" min="4" max="4"/>
    <col width="8" customWidth="1" min="5" max="5"/>
    <col width="26" customWidth="1" min="6" max="6"/>
    <col width="16" customWidth="1" min="7" max="7"/>
    <col width="7" customWidth="1" min="8" max="8"/>
    <col width="8" customWidth="1" min="9" max="9"/>
    <col width="13" customWidth="1" min="10" max="10"/>
    <col width="16" customWidth="1" min="11" max="11"/>
    <col width="12" customWidth="1" min="12" max="12"/>
    <col width="12" customWidth="1" min="13" max="13"/>
    <col width="34" customWidth="1" min="14" max="14"/>
    <col width="30" customWidth="1" min="15" max="15"/>
    <col width="30" customWidth="1" min="16" max="16"/>
    <col width="48" customWidth="1" min="17" max="17"/>
  </cols>
  <sheetData>
    <row r="1">
      <c r="A1" s="4" t="inlineStr">
        <is>
          <t>Platform tracker: Platform and dashboards: people, companies, assessments and results</t>
        </is>
      </c>
    </row>
    <row r="2">
      <c r="A2" s="5" t="inlineStr">
        <is>
          <t>Developer: Akshay Gupta. Mirrors docs/bmad/initiative-platform/ (the markdown tracker is updated automatically by the Claude rule; this sheet is updated by hand). Yellow cells are yours to fill in.</t>
        </is>
      </c>
    </row>
    <row r="4">
      <c r="A4" s="6" t="inlineStr">
        <is>
          <t>Level</t>
        </is>
      </c>
      <c r="B4" s="6" t="inlineStr">
        <is>
          <t>Epic</t>
        </is>
      </c>
      <c r="C4" s="6" t="inlineStr">
        <is>
          <t>Ref</t>
        </is>
      </c>
      <c r="D4" s="6" t="inlineStr">
        <is>
          <t>Title</t>
        </is>
      </c>
      <c r="E4" s="6" t="inlineStr">
        <is>
          <t>Type</t>
        </is>
      </c>
      <c r="F4" s="6" t="inlineStr">
        <is>
          <t>Requirements</t>
        </is>
      </c>
      <c r="G4" s="6" t="inlineStr">
        <is>
          <t>Depends on</t>
        </is>
      </c>
      <c r="H4" s="6" t="inlineStr">
        <is>
          <t>HITL</t>
        </is>
      </c>
      <c r="I4" s="6" t="inlineStr">
        <is>
          <t>Risk</t>
        </is>
      </c>
      <c r="J4" s="6" t="inlineStr">
        <is>
          <t>Status</t>
        </is>
      </c>
      <c r="K4" s="6" t="inlineStr">
        <is>
          <t>Assignee</t>
        </is>
      </c>
      <c r="L4" s="6" t="inlineStr">
        <is>
          <t>Started</t>
        </is>
      </c>
      <c r="M4" s="6" t="inlineStr">
        <is>
          <t>Finished</t>
        </is>
      </c>
      <c r="N4" s="6" t="inlineStr">
        <is>
          <t>Tests run and result</t>
        </is>
      </c>
      <c r="O4" s="6" t="inlineStr">
        <is>
          <t>Dev-log entry</t>
        </is>
      </c>
      <c r="P4" s="6" t="inlineStr">
        <is>
          <t>Plan file</t>
        </is>
      </c>
      <c r="Q4" s="6" t="inlineStr">
        <is>
          <t>Notes and blockers</t>
        </is>
      </c>
    </row>
    <row r="5">
      <c r="A5" s="12" t="inlineStr">
        <is>
          <t>Example</t>
        </is>
      </c>
      <c r="B5" s="12" t="inlineStr">
        <is>
          <t>E1 Example epic</t>
        </is>
      </c>
      <c r="C5" s="12" t="inlineStr">
        <is>
          <t>1.1</t>
        </is>
      </c>
      <c r="D5" s="12" t="inlineStr">
        <is>
          <t>EXAMPLE (delete this row): Platform stack runs end to end locally</t>
        </is>
      </c>
      <c r="E5" s="12" t="inlineStr">
        <is>
          <t>story</t>
        </is>
      </c>
      <c r="F5" s="12" t="inlineStr">
        <is>
          <t>PB-7; PB-8</t>
        </is>
      </c>
      <c r="G5" s="12" t="inlineStr">
        <is>
          <t>none</t>
        </is>
      </c>
      <c r="H5" s="12" t="inlineStr">
        <is>
          <t>yes</t>
        </is>
      </c>
      <c r="I5" s="12" t="inlineStr">
        <is>
          <t>medium</t>
        </is>
      </c>
      <c r="J5" s="12" t="inlineStr">
        <is>
          <t>done</t>
        </is>
      </c>
      <c r="K5" s="12" t="inlineStr">
        <is>
          <t>Akshay Gupta</t>
        </is>
      </c>
      <c r="L5" s="12" t="inlineStr">
        <is>
          <t>2026-10-12</t>
        </is>
      </c>
      <c r="M5" s="12" t="inlineStr">
        <is>
          <t>2026-10-13</t>
        </is>
      </c>
      <c r="N5" s="12" t="inlineStr">
        <is>
          <t>Compose up on the Mac: API health OK; node scripts/verify-skills.mjs OK</t>
        </is>
      </c>
      <c r="O5" s="12" t="inlineStr">
        <is>
          <t>docs/dev-log/2026-10-13-akshay-platform-stack.md</t>
        </is>
      </c>
      <c r="P5" s="12" t="inlineStr">
        <is>
          <t>docs/bmad/initiative-platform/epic-platform-baseline/story-...-plan.md</t>
        </is>
      </c>
      <c r="Q5" s="12" t="inlineStr">
        <is>
          <t>Example of a finished row.</t>
        </is>
      </c>
    </row>
    <row r="6">
      <c r="A6" s="13" t="inlineStr">
        <is>
          <t>Epic</t>
        </is>
      </c>
      <c r="B6" s="14" t="inlineStr">
        <is>
          <t>E1 Platform baseline and sprint-zero contracts</t>
        </is>
      </c>
      <c r="C6" s="14" t="inlineStr">
        <is>
          <t>E1</t>
        </is>
      </c>
      <c r="D6" s="13" t="inlineStr">
        <is>
          <t>Platform baseline and sprint-zero contracts</t>
        </is>
      </c>
      <c r="E6" s="14" t="inlineStr">
        <is>
          <t>epic</t>
        </is>
      </c>
      <c r="F6" s="14" t="inlineStr">
        <is>
          <t>baseline: see epic file</t>
        </is>
      </c>
      <c r="G6" s="14" t="inlineStr">
        <is>
          <t>none</t>
        </is>
      </c>
      <c r="H6" s="14" t="inlineStr"/>
      <c r="I6" s="14" t="inlineStr">
        <is>
          <t>medium</t>
        </is>
      </c>
      <c r="J6" s="15" t="inlineStr">
        <is>
          <t>planned</t>
        </is>
      </c>
      <c r="K6" s="15" t="inlineStr">
        <is>
          <t>Akshay Gupta</t>
        </is>
      </c>
      <c r="L6" s="16" t="n"/>
      <c r="M6" s="16" t="n"/>
      <c r="N6" s="15" t="n"/>
      <c r="O6" s="15" t="n"/>
      <c r="P6" s="15" t="inlineStr">
        <is>
          <t>docs/bmad/initiative-platform/epic-platform-baseline/epic-platform-baseline.md</t>
        </is>
      </c>
      <c r="Q6" s="15" t="inlineStr"/>
    </row>
    <row r="7">
      <c r="A7" s="17" t="inlineStr">
        <is>
          <t>Story</t>
        </is>
      </c>
      <c r="B7" s="17" t="inlineStr">
        <is>
          <t>E1 Platform baseline and sprint-zero contracts</t>
        </is>
      </c>
      <c r="C7" s="17" t="inlineStr">
        <is>
          <t>1.1</t>
        </is>
      </c>
      <c r="D7" s="17" t="inlineStr">
        <is>
          <t>Platform stack runs end to end locally (tracer bullet)</t>
        </is>
      </c>
      <c r="E7" s="17" t="inlineStr">
        <is>
          <t>story</t>
        </is>
      </c>
      <c r="F7" s="17" t="inlineStr">
        <is>
          <t>PB-7; PB-8</t>
        </is>
      </c>
      <c r="G7" s="17" t="inlineStr">
        <is>
          <t>none</t>
        </is>
      </c>
      <c r="H7" s="17" t="inlineStr">
        <is>
          <t>yes</t>
        </is>
      </c>
      <c r="I7" s="17" t="inlineStr">
        <is>
          <t>medium</t>
        </is>
      </c>
      <c r="J7" s="15" t="inlineStr">
        <is>
          <t>planned</t>
        </is>
      </c>
      <c r="K7" s="15" t="inlineStr">
        <is>
          <t>Akshay Gupta</t>
        </is>
      </c>
      <c r="L7" s="16" t="n"/>
      <c r="M7" s="16" t="n"/>
      <c r="N7" s="15" t="n"/>
      <c r="O7" s="15" t="n"/>
      <c r="P7" s="15" t="n"/>
      <c r="Q7" s="15" t="inlineStr">
        <is>
          <t>BLOCKED UNTIL: Waits on initiative-lab epic-lab-baseline entry 1 (repository skeleton, Compose profile layout, scripts/dev.mjs) being merged; remove when merged.</t>
        </is>
      </c>
    </row>
    <row r="8">
      <c r="A8" s="17" t="inlineStr">
        <is>
          <t>Story</t>
        </is>
      </c>
      <c r="B8" s="17" t="inlineStr">
        <is>
          <t>E1 Platform baseline and sprint-zero contracts</t>
        </is>
      </c>
      <c r="C8" s="17" t="inlineStr">
        <is>
          <t>1.2</t>
        </is>
      </c>
      <c r="D8" s="17" t="inlineStr">
        <is>
          <t>Error registry and problem-details format (IF-8)</t>
        </is>
      </c>
      <c r="E8" s="17" t="inlineStr">
        <is>
          <t>story</t>
        </is>
      </c>
      <c r="F8" s="17" t="inlineStr">
        <is>
          <t>PB-1</t>
        </is>
      </c>
      <c r="G8" s="17" t="inlineStr">
        <is>
          <t>1.1</t>
        </is>
      </c>
      <c r="H8" s="17" t="inlineStr">
        <is>
          <t>no</t>
        </is>
      </c>
      <c r="I8" s="17" t="inlineStr">
        <is>
          <t>low</t>
        </is>
      </c>
      <c r="J8" s="15" t="inlineStr">
        <is>
          <t>planned</t>
        </is>
      </c>
      <c r="K8" s="15" t="inlineStr">
        <is>
          <t>Akshay Gupta</t>
        </is>
      </c>
      <c r="L8" s="16" t="n"/>
      <c r="M8" s="16" t="n"/>
      <c r="N8" s="15" t="n"/>
      <c r="O8" s="15" t="n"/>
      <c r="P8" s="15" t="n"/>
      <c r="Q8" s="15" t="inlineStr"/>
    </row>
    <row r="9">
      <c r="A9" s="17" t="inlineStr">
        <is>
          <t>Story</t>
        </is>
      </c>
      <c r="B9" s="17" t="inlineStr">
        <is>
          <t>E1 Platform baseline and sprint-zero contracts</t>
        </is>
      </c>
      <c r="C9" s="17" t="inlineStr">
        <is>
          <t>1.3</t>
        </is>
      </c>
      <c r="D9" s="17" t="inlineStr">
        <is>
          <t>Domain event schema (IF-3) with fixtures and replay script</t>
        </is>
      </c>
      <c r="E9" s="17" t="inlineStr">
        <is>
          <t>story</t>
        </is>
      </c>
      <c r="F9" s="17" t="inlineStr">
        <is>
          <t>PB-2</t>
        </is>
      </c>
      <c r="G9" s="17" t="inlineStr">
        <is>
          <t>1.2</t>
        </is>
      </c>
      <c r="H9" s="17" t="inlineStr">
        <is>
          <t>no</t>
        </is>
      </c>
      <c r="I9" s="17" t="inlineStr">
        <is>
          <t>low</t>
        </is>
      </c>
      <c r="J9" s="15" t="inlineStr">
        <is>
          <t>planned</t>
        </is>
      </c>
      <c r="K9" s="15" t="inlineStr">
        <is>
          <t>Akshay Gupta</t>
        </is>
      </c>
      <c r="L9" s="16" t="n"/>
      <c r="M9" s="16" t="n"/>
      <c r="N9" s="15" t="n"/>
      <c r="O9" s="15" t="n"/>
      <c r="P9" s="15" t="n"/>
      <c r="Q9" s="15" t="inlineStr"/>
    </row>
    <row r="10">
      <c r="A10" s="17" t="inlineStr">
        <is>
          <t>Story</t>
        </is>
      </c>
      <c r="B10" s="17" t="inlineStr">
        <is>
          <t>E1 Platform baseline and sprint-zero contracts</t>
        </is>
      </c>
      <c r="C10" s="17" t="inlineStr">
        <is>
          <t>1.4</t>
        </is>
      </c>
      <c r="D10" s="17" t="inlineStr">
        <is>
          <t>Platform and lab API fragments, bundle, mock and generated clients (IF-1, IF-2)</t>
        </is>
      </c>
      <c r="E10" s="17" t="inlineStr">
        <is>
          <t>story</t>
        </is>
      </c>
      <c r="F10" s="17" t="inlineStr">
        <is>
          <t>PB-3</t>
        </is>
      </c>
      <c r="G10" s="17" t="inlineStr">
        <is>
          <t>1.2, 1.3</t>
        </is>
      </c>
      <c r="H10" s="17" t="inlineStr">
        <is>
          <t>no</t>
        </is>
      </c>
      <c r="I10" s="17" t="inlineStr">
        <is>
          <t>medium</t>
        </is>
      </c>
      <c r="J10" s="15" t="inlineStr">
        <is>
          <t>planned</t>
        </is>
      </c>
      <c r="K10" s="15" t="inlineStr">
        <is>
          <t>Akshay Gupta</t>
        </is>
      </c>
      <c r="L10" s="16" t="n"/>
      <c r="M10" s="16" t="n"/>
      <c r="N10" s="15" t="n"/>
      <c r="O10" s="15" t="n"/>
      <c r="P10" s="15" t="n"/>
      <c r="Q10" s="15" t="inlineStr">
        <is>
          <t>BLOCKED UNTIL: Needs the lab API fragment (initiative-lab epic-lab-baseline entry 9) and the catalogue stubs (initiative-target epic-target-baseline entry 2) merged; agree the fragment layout with Tanmay.</t>
        </is>
      </c>
    </row>
    <row r="11">
      <c r="A11" s="17" t="inlineStr">
        <is>
          <t>Story</t>
        </is>
      </c>
      <c r="B11" s="17" t="inlineStr">
        <is>
          <t>E1 Platform baseline and sprint-zero contracts</t>
        </is>
      </c>
      <c r="C11" s="17" t="inlineStr">
        <is>
          <t>1.5</t>
        </is>
      </c>
      <c r="D11" s="17" t="inlineStr">
        <is>
          <t>Ports, in-memory fakes and table ownership (IF-9, IF-10)</t>
        </is>
      </c>
      <c r="E11" s="17" t="inlineStr">
        <is>
          <t>story</t>
        </is>
      </c>
      <c r="F11" s="17" t="inlineStr">
        <is>
          <t>PB-4</t>
        </is>
      </c>
      <c r="G11" s="17" t="inlineStr">
        <is>
          <t>1.2, 1.3</t>
        </is>
      </c>
      <c r="H11" s="17" t="inlineStr">
        <is>
          <t>no</t>
        </is>
      </c>
      <c r="I11" s="17" t="inlineStr">
        <is>
          <t>medium</t>
        </is>
      </c>
      <c r="J11" s="15" t="inlineStr">
        <is>
          <t>planned</t>
        </is>
      </c>
      <c r="K11" s="15" t="inlineStr">
        <is>
          <t>Akshay Gupta</t>
        </is>
      </c>
      <c r="L11" s="16" t="n"/>
      <c r="M11" s="16" t="n"/>
      <c r="N11" s="15" t="n"/>
      <c r="O11" s="15" t="n"/>
      <c r="P11" s="15" t="n"/>
      <c r="Q11" s="15" t="inlineStr"/>
    </row>
    <row r="12">
      <c r="A12" s="17" t="inlineStr">
        <is>
          <t>Story</t>
        </is>
      </c>
      <c r="B12" s="17" t="inlineStr">
        <is>
          <t>E1 Platform baseline and sprint-zero contracts</t>
        </is>
      </c>
      <c r="C12" s="17" t="inlineStr">
        <is>
          <t>1.6</t>
        </is>
      </c>
      <c r="D12" s="17" t="inlineStr">
        <is>
          <t>API skeleton: kernel and single-head migrations</t>
        </is>
      </c>
      <c r="E12" s="17" t="inlineStr">
        <is>
          <t>story</t>
        </is>
      </c>
      <c r="F12" s="17" t="inlineStr">
        <is>
          <t>PB-5</t>
        </is>
      </c>
      <c r="G12" s="17" t="inlineStr">
        <is>
          <t>1.1, 1.3, 1.5</t>
        </is>
      </c>
      <c r="H12" s="17" t="inlineStr">
        <is>
          <t>no</t>
        </is>
      </c>
      <c r="I12" s="17" t="inlineStr">
        <is>
          <t>medium</t>
        </is>
      </c>
      <c r="J12" s="15" t="inlineStr">
        <is>
          <t>planned</t>
        </is>
      </c>
      <c r="K12" s="15" t="inlineStr">
        <is>
          <t>Akshay Gupta</t>
        </is>
      </c>
      <c r="L12" s="16" t="n"/>
      <c r="M12" s="16" t="n"/>
      <c r="N12" s="15" t="n"/>
      <c r="O12" s="15" t="n"/>
      <c r="P12" s="15" t="n"/>
      <c r="Q12" s="15" t="inlineStr"/>
    </row>
    <row r="13">
      <c r="A13" s="17" t="inlineStr">
        <is>
          <t>Story</t>
        </is>
      </c>
      <c r="B13" s="17" t="inlineStr">
        <is>
          <t>E1 Platform baseline and sprint-zero contracts</t>
        </is>
      </c>
      <c r="C13" s="17" t="inlineStr">
        <is>
          <t>1.7</t>
        </is>
      </c>
      <c r="D13" s="17" t="inlineStr">
        <is>
          <t>Dashboards skeleton with the same-origin proxy (local)</t>
        </is>
      </c>
      <c r="E13" s="17" t="inlineStr">
        <is>
          <t>story</t>
        </is>
      </c>
      <c r="F13" s="17" t="inlineStr">
        <is>
          <t>PB-6</t>
        </is>
      </c>
      <c r="G13" s="17" t="inlineStr">
        <is>
          <t>1.1, 1.4</t>
        </is>
      </c>
      <c r="H13" s="17" t="inlineStr">
        <is>
          <t>no</t>
        </is>
      </c>
      <c r="I13" s="17" t="inlineStr">
        <is>
          <t>medium</t>
        </is>
      </c>
      <c r="J13" s="15" t="inlineStr">
        <is>
          <t>planned</t>
        </is>
      </c>
      <c r="K13" s="15" t="inlineStr">
        <is>
          <t>Akshay Gupta</t>
        </is>
      </c>
      <c r="L13" s="16" t="n"/>
      <c r="M13" s="16" t="n"/>
      <c r="N13" s="15" t="n"/>
      <c r="O13" s="15" t="n"/>
      <c r="P13" s="15" t="n"/>
      <c r="Q13" s="15" t="inlineStr"/>
    </row>
    <row r="14">
      <c r="A14" s="17" t="inlineStr">
        <is>
          <t>Story</t>
        </is>
      </c>
      <c r="B14" s="17" t="inlineStr">
        <is>
          <t>E1 Platform baseline and sprint-zero contracts</t>
        </is>
      </c>
      <c r="C14" s="17" t="inlineStr">
        <is>
          <t>1.8</t>
        </is>
      </c>
      <c r="D14" s="17" t="inlineStr">
        <is>
          <t>Sign off contracts v1.0.0 as provider and consumer</t>
        </is>
      </c>
      <c r="E14" s="17" t="inlineStr">
        <is>
          <t>story</t>
        </is>
      </c>
      <c r="F14" s="17" t="inlineStr">
        <is>
          <t>PB-9</t>
        </is>
      </c>
      <c r="G14" s="17" t="inlineStr">
        <is>
          <t>1.3, 1.4, 1.5</t>
        </is>
      </c>
      <c r="H14" s="17" t="inlineStr">
        <is>
          <t>yes</t>
        </is>
      </c>
      <c r="I14" s="17" t="inlineStr">
        <is>
          <t>low</t>
        </is>
      </c>
      <c r="J14" s="15" t="inlineStr">
        <is>
          <t>planned</t>
        </is>
      </c>
      <c r="K14" s="15" t="inlineStr">
        <is>
          <t>Akshay Gupta</t>
        </is>
      </c>
      <c r="L14" s="16" t="n"/>
      <c r="M14" s="16" t="n"/>
      <c r="N14" s="15" t="n"/>
      <c r="O14" s="15" t="n"/>
      <c r="P14" s="15" t="n"/>
      <c r="Q14" s="15" t="inlineStr"/>
    </row>
    <row r="15">
      <c r="A15" s="17" t="inlineStr">
        <is>
          <t>Story</t>
        </is>
      </c>
      <c r="B15" s="17" t="inlineStr">
        <is>
          <t>E1 Platform baseline and sprint-zero contracts</t>
        </is>
      </c>
      <c r="C15" s="17" t="inlineStr">
        <is>
          <t>1.9</t>
        </is>
      </c>
      <c r="D15" s="17" t="inlineStr">
        <is>
          <t>Refactor sweep</t>
        </is>
      </c>
      <c r="E15" s="17" t="inlineStr">
        <is>
          <t>story</t>
        </is>
      </c>
      <c r="F15" s="17" t="inlineStr"/>
      <c r="G15" s="17" t="inlineStr">
        <is>
          <t>1.1, 1.2, 1.3, 1.4, 1.5, 1.6, 1.7, 1.8</t>
        </is>
      </c>
      <c r="H15" s="17" t="inlineStr">
        <is>
          <t>no</t>
        </is>
      </c>
      <c r="I15" s="17" t="inlineStr">
        <is>
          <t>low</t>
        </is>
      </c>
      <c r="J15" s="15" t="inlineStr">
        <is>
          <t>planned</t>
        </is>
      </c>
      <c r="K15" s="15" t="inlineStr">
        <is>
          <t>Akshay Gupta</t>
        </is>
      </c>
      <c r="L15" s="16" t="n"/>
      <c r="M15" s="16" t="n"/>
      <c r="N15" s="15" t="n"/>
      <c r="O15" s="15" t="n"/>
      <c r="P15" s="15" t="n"/>
      <c r="Q15" s="15" t="inlineStr"/>
    </row>
    <row r="16">
      <c r="A16" s="13" t="inlineStr">
        <is>
          <t>Epic</t>
        </is>
      </c>
      <c r="B16" s="14" t="inlineStr">
        <is>
          <t>E2 Email works and never loses a message</t>
        </is>
      </c>
      <c r="C16" s="14" t="inlineStr">
        <is>
          <t>E2</t>
        </is>
      </c>
      <c r="D16" s="13" t="inlineStr">
        <is>
          <t>Email works and never loses a message</t>
        </is>
      </c>
      <c r="E16" s="14" t="inlineStr">
        <is>
          <t>epic</t>
        </is>
      </c>
      <c r="F16" s="14" t="inlineStr">
        <is>
          <t>FR-NTF-01 to 04</t>
        </is>
      </c>
      <c r="G16" s="14" t="inlineStr">
        <is>
          <t>E1</t>
        </is>
      </c>
      <c r="H16" s="14" t="inlineStr"/>
      <c r="I16" s="14" t="inlineStr">
        <is>
          <t>medium</t>
        </is>
      </c>
      <c r="J16" s="15" t="inlineStr">
        <is>
          <t>planned</t>
        </is>
      </c>
      <c r="K16" s="15" t="inlineStr">
        <is>
          <t>Akshay Gupta</t>
        </is>
      </c>
      <c r="L16" s="16" t="n"/>
      <c r="M16" s="16" t="n"/>
      <c r="N16" s="15" t="n"/>
      <c r="O16" s="15" t="n"/>
      <c r="P16" s="15" t="inlineStr">
        <is>
          <t>docs/bmad/initiative-platform/epic-notifications-and-email/epic-notifications-and-email.md</t>
        </is>
      </c>
      <c r="Q16" s="15" t="inlineStr">
        <is>
          <t>Stories are created one at a time by the developer (BMAD).</t>
        </is>
      </c>
    </row>
    <row r="17">
      <c r="A17" s="13" t="inlineStr">
        <is>
          <t>Epic</t>
        </is>
      </c>
      <c r="B17" s="14" t="inlineStr">
        <is>
          <t>E3 People can register, log in and stay secure</t>
        </is>
      </c>
      <c r="C17" s="14" t="inlineStr">
        <is>
          <t>E3</t>
        </is>
      </c>
      <c r="D17" s="13" t="inlineStr">
        <is>
          <t>People can register, log in and stay secure</t>
        </is>
      </c>
      <c r="E17" s="14" t="inlineStr">
        <is>
          <t>epic</t>
        </is>
      </c>
      <c r="F17" s="14" t="inlineStr">
        <is>
          <t>FR-ACC-01 to 11</t>
        </is>
      </c>
      <c r="G17" s="14" t="inlineStr">
        <is>
          <t>E2</t>
        </is>
      </c>
      <c r="H17" s="14" t="inlineStr"/>
      <c r="I17" s="14" t="inlineStr">
        <is>
          <t>medium</t>
        </is>
      </c>
      <c r="J17" s="15" t="inlineStr">
        <is>
          <t>planned</t>
        </is>
      </c>
      <c r="K17" s="15" t="inlineStr">
        <is>
          <t>Akshay Gupta</t>
        </is>
      </c>
      <c r="L17" s="16" t="n"/>
      <c r="M17" s="16" t="n"/>
      <c r="N17" s="15" t="n"/>
      <c r="O17" s="15" t="n"/>
      <c r="P17" s="15" t="inlineStr">
        <is>
          <t>docs/bmad/initiative-platform/epic-accounts-and-sessions/epic-accounts-and-sessions.md</t>
        </is>
      </c>
      <c r="Q17" s="15" t="inlineStr">
        <is>
          <t>Stories are created one at a time by the developer (BMAD).</t>
        </is>
      </c>
    </row>
    <row r="18">
      <c r="A18" s="13" t="inlineStr">
        <is>
          <t>Epic</t>
        </is>
      </c>
      <c r="B18" s="14" t="inlineStr">
        <is>
          <t>E4 Privacy, consent, audit and deletion work as promised</t>
        </is>
      </c>
      <c r="C18" s="14" t="inlineStr">
        <is>
          <t>E4</t>
        </is>
      </c>
      <c r="D18" s="13" t="inlineStr">
        <is>
          <t>Privacy, consent, audit and deletion work as promised</t>
        </is>
      </c>
      <c r="E18" s="14" t="inlineStr">
        <is>
          <t>epic</t>
        </is>
      </c>
      <c r="F18" s="14" t="inlineStr">
        <is>
          <t>FR-PRV-01 to 20</t>
        </is>
      </c>
      <c r="G18" s="14" t="inlineStr">
        <is>
          <t>E3</t>
        </is>
      </c>
      <c r="H18" s="14" t="inlineStr"/>
      <c r="I18" s="14" t="inlineStr">
        <is>
          <t>high</t>
        </is>
      </c>
      <c r="J18" s="15" t="inlineStr">
        <is>
          <t>planned</t>
        </is>
      </c>
      <c r="K18" s="15" t="inlineStr">
        <is>
          <t>Akshay Gupta</t>
        </is>
      </c>
      <c r="L18" s="16" t="n"/>
      <c r="M18" s="16" t="n"/>
      <c r="N18" s="15" t="n"/>
      <c r="O18" s="15" t="n"/>
      <c r="P18" s="15" t="inlineStr">
        <is>
          <t>docs/bmad/initiative-platform/epic-privacy-audit-and-keys/epic-privacy-audit-and-keys.md</t>
        </is>
      </c>
      <c r="Q18" s="15" t="inlineStr">
        <is>
          <t>Stories are created one at a time by the developer (BMAD).</t>
        </is>
      </c>
    </row>
    <row r="19">
      <c r="A19" s="13" t="inlineStr">
        <is>
          <t>Epic</t>
        </is>
      </c>
      <c r="B19" s="14" t="inlineStr">
        <is>
          <t>E5 Recruiters join approved companies</t>
        </is>
      </c>
      <c r="C19" s="14" t="inlineStr">
        <is>
          <t>E5</t>
        </is>
      </c>
      <c r="D19" s="13" t="inlineStr">
        <is>
          <t>Recruiters join approved companies</t>
        </is>
      </c>
      <c r="E19" s="14" t="inlineStr">
        <is>
          <t>epic</t>
        </is>
      </c>
      <c r="F19" s="14" t="inlineStr">
        <is>
          <t>FR-ORG-01 to 08</t>
        </is>
      </c>
      <c r="G19" s="14" t="inlineStr">
        <is>
          <t>E3, E4</t>
        </is>
      </c>
      <c r="H19" s="14" t="inlineStr"/>
      <c r="I19" s="14" t="inlineStr">
        <is>
          <t>medium</t>
        </is>
      </c>
      <c r="J19" s="15" t="inlineStr">
        <is>
          <t>planned</t>
        </is>
      </c>
      <c r="K19" s="15" t="inlineStr">
        <is>
          <t>Akshay Gupta</t>
        </is>
      </c>
      <c r="L19" s="16" t="n"/>
      <c r="M19" s="16" t="n"/>
      <c r="N19" s="15" t="n"/>
      <c r="O19" s="15" t="n"/>
      <c r="P19" s="15" t="inlineStr">
        <is>
          <t>docs/bmad/initiative-platform/epic-companies-and-approval/epic-companies-and-approval.md</t>
        </is>
      </c>
      <c r="Q19" s="15" t="inlineStr">
        <is>
          <t>Stories are created one at a time by the developer (BMAD).</t>
        </is>
      </c>
    </row>
    <row r="20">
      <c r="A20" s="13" t="inlineStr">
        <is>
          <t>Epic</t>
        </is>
      </c>
      <c r="B20" s="14" t="inlineStr">
        <is>
          <t>E6 Recruiters create assessments and invite candidates</t>
        </is>
      </c>
      <c r="C20" s="14" t="inlineStr">
        <is>
          <t>E6</t>
        </is>
      </c>
      <c r="D20" s="13" t="inlineStr">
        <is>
          <t>Recruiters create assessments and invite candidates</t>
        </is>
      </c>
      <c r="E20" s="14" t="inlineStr">
        <is>
          <t>epic</t>
        </is>
      </c>
      <c r="F20" s="14" t="inlineStr">
        <is>
          <t>FR-ASM-01 to 06</t>
        </is>
      </c>
      <c r="G20" s="14" t="inlineStr">
        <is>
          <t>E5, E4, E2</t>
        </is>
      </c>
      <c r="H20" s="14" t="inlineStr"/>
      <c r="I20" s="14" t="inlineStr">
        <is>
          <t>medium</t>
        </is>
      </c>
      <c r="J20" s="15" t="inlineStr">
        <is>
          <t>planned</t>
        </is>
      </c>
      <c r="K20" s="15" t="inlineStr">
        <is>
          <t>Akshay Gupta</t>
        </is>
      </c>
      <c r="L20" s="16" t="n"/>
      <c r="M20" s="16" t="n"/>
      <c r="N20" s="15" t="n"/>
      <c r="O20" s="15" t="n"/>
      <c r="P20" s="15" t="inlineStr">
        <is>
          <t>docs/bmad/initiative-platform/epic-assessments-and-invites/epic-assessments-and-invites.md</t>
        </is>
      </c>
      <c r="Q20" s="15" t="inlineStr">
        <is>
          <t>Stories are created one at a time by the developer (BMAD).</t>
        </is>
      </c>
    </row>
    <row r="21">
      <c r="A21" s="13" t="inlineStr">
        <is>
          <t>Epic</t>
        </is>
      </c>
      <c r="B21" s="14" t="inlineStr">
        <is>
          <t>E7 Everything on the dashboards is live</t>
        </is>
      </c>
      <c r="C21" s="14" t="inlineStr">
        <is>
          <t>E7</t>
        </is>
      </c>
      <c r="D21" s="13" t="inlineStr">
        <is>
          <t>Everything on the dashboards is live</t>
        </is>
      </c>
      <c r="E21" s="14" t="inlineStr">
        <is>
          <t>epic</t>
        </is>
      </c>
      <c r="F21" s="14" t="inlineStr">
        <is>
          <t>FR-LIV-01 to 06</t>
        </is>
      </c>
      <c r="G21" s="14" t="inlineStr">
        <is>
          <t>E3, E5</t>
        </is>
      </c>
      <c r="H21" s="14" t="inlineStr"/>
      <c r="I21" s="14" t="inlineStr">
        <is>
          <t>high</t>
        </is>
      </c>
      <c r="J21" s="15" t="inlineStr">
        <is>
          <t>planned</t>
        </is>
      </c>
      <c r="K21" s="15" t="inlineStr">
        <is>
          <t>Akshay Gupta</t>
        </is>
      </c>
      <c r="L21" s="16" t="n"/>
      <c r="M21" s="16" t="n"/>
      <c r="N21" s="15" t="n"/>
      <c r="O21" s="15" t="n"/>
      <c r="P21" s="15" t="inlineStr">
        <is>
          <t>docs/bmad/initiative-platform/epic-live-updates/epic-live-updates.md</t>
        </is>
      </c>
      <c r="Q21" s="15" t="inlineStr">
        <is>
          <t>Stories are created one at a time by the developer (BMAD).</t>
        </is>
      </c>
    </row>
    <row r="22">
      <c r="A22" s="13" t="inlineStr">
        <is>
          <t>Epic</t>
        </is>
      </c>
      <c r="B22" s="14" t="inlineStr">
        <is>
          <t>E8 Four role dashboards and data export</t>
        </is>
      </c>
      <c r="C22" s="14" t="inlineStr">
        <is>
          <t>E8</t>
        </is>
      </c>
      <c r="D22" s="13" t="inlineStr">
        <is>
          <t>Four role dashboards and data export</t>
        </is>
      </c>
      <c r="E22" s="14" t="inlineStr">
        <is>
          <t>epic</t>
        </is>
      </c>
      <c r="F22" s="14" t="inlineStr">
        <is>
          <t>FR-DSH-01 to 06; FR-HNT-01 to 03; FR-EXP-01 to 04</t>
        </is>
      </c>
      <c r="G22" s="14" t="inlineStr">
        <is>
          <t>E6, E7</t>
        </is>
      </c>
      <c r="H22" s="14" t="inlineStr"/>
      <c r="I22" s="14" t="inlineStr">
        <is>
          <t>medium</t>
        </is>
      </c>
      <c r="J22" s="15" t="inlineStr">
        <is>
          <t>planned</t>
        </is>
      </c>
      <c r="K22" s="15" t="inlineStr">
        <is>
          <t>Akshay Gupta</t>
        </is>
      </c>
      <c r="L22" s="16" t="n"/>
      <c r="M22" s="16" t="n"/>
      <c r="N22" s="15" t="n"/>
      <c r="O22" s="15" t="n"/>
      <c r="P22" s="15" t="inlineStr">
        <is>
          <t>docs/bmad/initiative-platform/epic-dashboards-and-exports/epic-dashboards-and-exports.md</t>
        </is>
      </c>
      <c r="Q22" s="15" t="inlineStr">
        <is>
          <t>Stories are created one at a time by the developer (BMAD).</t>
        </is>
      </c>
    </row>
    <row r="23">
      <c r="A23" s="13" t="inlineStr">
        <is>
          <t>Epic</t>
        </is>
      </c>
      <c r="B23" s="14" t="inlineStr">
        <is>
          <t>E9 Admins approve, operate and audit safely</t>
        </is>
      </c>
      <c r="C23" s="14" t="inlineStr">
        <is>
          <t>E9</t>
        </is>
      </c>
      <c r="D23" s="13" t="inlineStr">
        <is>
          <t>Admins approve, operate and audit safely</t>
        </is>
      </c>
      <c r="E23" s="14" t="inlineStr">
        <is>
          <t>epic</t>
        </is>
      </c>
      <c r="F23" s="14" t="inlineStr">
        <is>
          <t>FR-ADM-01 to 08</t>
        </is>
      </c>
      <c r="G23" s="14" t="inlineStr">
        <is>
          <t>E5, E4</t>
        </is>
      </c>
      <c r="H23" s="14" t="inlineStr"/>
      <c r="I23" s="14" t="inlineStr">
        <is>
          <t>medium</t>
        </is>
      </c>
      <c r="J23" s="15" t="inlineStr">
        <is>
          <t>planned</t>
        </is>
      </c>
      <c r="K23" s="15" t="inlineStr">
        <is>
          <t>Akshay Gupta</t>
        </is>
      </c>
      <c r="L23" s="16" t="n"/>
      <c r="M23" s="16" t="n"/>
      <c r="N23" s="15" t="n"/>
      <c r="O23" s="15" t="n"/>
      <c r="P23" s="15" t="inlineStr">
        <is>
          <t>docs/bmad/initiative-platform/epic-admin-and-operations/epic-admin-and-operations.md</t>
        </is>
      </c>
      <c r="Q23" s="15" t="inlineStr">
        <is>
          <t>Stories are created one at a time by the developer (BMAD).</t>
        </is>
      </c>
    </row>
    <row r="24">
      <c r="L24" s="18" t="n"/>
      <c r="M24" s="18" t="n"/>
    </row>
    <row r="25">
      <c r="L25" s="18" t="n"/>
      <c r="M25" s="18" t="n"/>
    </row>
    <row r="26">
      <c r="L26" s="18" t="n"/>
      <c r="M26" s="18" t="n"/>
    </row>
    <row r="27">
      <c r="L27" s="18" t="n"/>
      <c r="M27" s="18" t="n"/>
    </row>
    <row r="28">
      <c r="L28" s="18" t="n"/>
      <c r="M28" s="18" t="n"/>
    </row>
    <row r="29">
      <c r="L29" s="18" t="n"/>
      <c r="M29" s="18" t="n"/>
    </row>
    <row r="30">
      <c r="L30" s="18" t="n"/>
      <c r="M30" s="18" t="n"/>
    </row>
    <row r="31">
      <c r="L31" s="18" t="n"/>
      <c r="M31" s="18" t="n"/>
    </row>
    <row r="32">
      <c r="L32" s="18" t="n"/>
      <c r="M32" s="18" t="n"/>
    </row>
    <row r="33">
      <c r="L33" s="18" t="n"/>
      <c r="M33" s="18" t="n"/>
    </row>
    <row r="34">
      <c r="L34" s="18" t="n"/>
      <c r="M34" s="18" t="n"/>
    </row>
    <row r="35">
      <c r="L35" s="18" t="n"/>
      <c r="M35" s="18" t="n"/>
    </row>
    <row r="36">
      <c r="L36" s="18" t="n"/>
      <c r="M36" s="18" t="n"/>
    </row>
    <row r="37">
      <c r="L37" s="18" t="n"/>
      <c r="M37" s="18" t="n"/>
    </row>
    <row r="38">
      <c r="L38" s="18" t="n"/>
      <c r="M38" s="18" t="n"/>
    </row>
    <row r="39">
      <c r="L39" s="18" t="n"/>
      <c r="M39" s="18" t="n"/>
    </row>
    <row r="40">
      <c r="L40" s="18" t="n"/>
      <c r="M40" s="18" t="n"/>
    </row>
    <row r="41">
      <c r="L41" s="18" t="n"/>
      <c r="M41" s="18" t="n"/>
    </row>
    <row r="42">
      <c r="L42" s="18" t="n"/>
      <c r="M42" s="18" t="n"/>
    </row>
    <row r="43">
      <c r="L43" s="18" t="n"/>
      <c r="M43" s="18" t="n"/>
    </row>
    <row r="44">
      <c r="L44" s="18" t="n"/>
      <c r="M44" s="18" t="n"/>
    </row>
    <row r="45">
      <c r="L45" s="18" t="n"/>
      <c r="M45" s="18" t="n"/>
    </row>
    <row r="46">
      <c r="L46" s="18" t="n"/>
      <c r="M46" s="18" t="n"/>
    </row>
    <row r="47">
      <c r="L47" s="18" t="n"/>
      <c r="M47" s="18" t="n"/>
    </row>
    <row r="48">
      <c r="L48" s="18" t="n"/>
      <c r="M48" s="18" t="n"/>
    </row>
    <row r="49">
      <c r="L49" s="18" t="n"/>
      <c r="M49" s="18" t="n"/>
    </row>
    <row r="50">
      <c r="L50" s="18" t="n"/>
      <c r="M50" s="18" t="n"/>
    </row>
    <row r="51">
      <c r="L51" s="18" t="n"/>
      <c r="M51" s="18" t="n"/>
    </row>
    <row r="52">
      <c r="L52" s="18" t="n"/>
      <c r="M52" s="18" t="n"/>
    </row>
    <row r="53">
      <c r="L53" s="18" t="n"/>
      <c r="M53" s="18" t="n"/>
    </row>
    <row r="54">
      <c r="L54" s="18" t="n"/>
      <c r="M54" s="18" t="n"/>
    </row>
    <row r="55">
      <c r="L55" s="18" t="n"/>
      <c r="M55" s="18" t="n"/>
    </row>
    <row r="56">
      <c r="L56" s="18" t="n"/>
      <c r="M56" s="18" t="n"/>
    </row>
    <row r="57">
      <c r="L57" s="18" t="n"/>
      <c r="M57" s="18" t="n"/>
    </row>
    <row r="58">
      <c r="L58" s="18" t="n"/>
      <c r="M58" s="18" t="n"/>
    </row>
    <row r="59">
      <c r="L59" s="18" t="n"/>
      <c r="M59" s="18" t="n"/>
    </row>
    <row r="60">
      <c r="L60" s="18" t="n"/>
      <c r="M60" s="18" t="n"/>
    </row>
    <row r="61">
      <c r="L61" s="18" t="n"/>
      <c r="M61" s="18" t="n"/>
    </row>
    <row r="62">
      <c r="L62" s="18" t="n"/>
      <c r="M62" s="18" t="n"/>
    </row>
    <row r="63">
      <c r="L63" s="18" t="n"/>
      <c r="M63" s="18" t="n"/>
    </row>
    <row r="64">
      <c r="L64" s="18" t="n"/>
      <c r="M64" s="18" t="n"/>
    </row>
    <row r="65">
      <c r="L65" s="18" t="n"/>
      <c r="M65" s="18" t="n"/>
    </row>
    <row r="66">
      <c r="L66" s="18" t="n"/>
      <c r="M66" s="18" t="n"/>
    </row>
    <row r="67">
      <c r="L67" s="18" t="n"/>
      <c r="M67" s="18" t="n"/>
    </row>
    <row r="68">
      <c r="L68" s="18" t="n"/>
      <c r="M68" s="18" t="n"/>
    </row>
    <row r="69">
      <c r="L69" s="18" t="n"/>
      <c r="M69" s="18" t="n"/>
    </row>
    <row r="70">
      <c r="L70" s="18" t="n"/>
      <c r="M70" s="18" t="n"/>
    </row>
    <row r="71">
      <c r="L71" s="18" t="n"/>
      <c r="M71" s="18" t="n"/>
    </row>
    <row r="72">
      <c r="L72" s="18" t="n"/>
      <c r="M72" s="18" t="n"/>
    </row>
    <row r="73">
      <c r="L73" s="18" t="n"/>
      <c r="M73" s="18" t="n"/>
    </row>
    <row r="74">
      <c r="L74" s="18" t="n"/>
      <c r="M74" s="18" t="n"/>
    </row>
    <row r="75">
      <c r="L75" s="18" t="n"/>
      <c r="M75" s="18" t="n"/>
    </row>
    <row r="76">
      <c r="L76" s="18" t="n"/>
      <c r="M76" s="18" t="n"/>
    </row>
    <row r="77">
      <c r="L77" s="18" t="n"/>
      <c r="M77" s="18" t="n"/>
    </row>
    <row r="78">
      <c r="L78" s="18" t="n"/>
      <c r="M78" s="18" t="n"/>
    </row>
    <row r="79">
      <c r="L79" s="18" t="n"/>
      <c r="M79" s="18" t="n"/>
    </row>
    <row r="80">
      <c r="L80" s="18" t="n"/>
      <c r="M80" s="18" t="n"/>
    </row>
    <row r="81">
      <c r="L81" s="18" t="n"/>
      <c r="M81" s="18" t="n"/>
    </row>
    <row r="82">
      <c r="L82" s="18" t="n"/>
      <c r="M82" s="18" t="n"/>
    </row>
    <row r="83">
      <c r="L83" s="18" t="n"/>
      <c r="M83" s="18" t="n"/>
    </row>
    <row r="84">
      <c r="L84" s="18" t="n"/>
      <c r="M84" s="18" t="n"/>
    </row>
    <row r="85">
      <c r="L85" s="18" t="n"/>
      <c r="M85" s="18" t="n"/>
    </row>
    <row r="86">
      <c r="L86" s="18" t="n"/>
      <c r="M86" s="18" t="n"/>
    </row>
    <row r="87">
      <c r="L87" s="18" t="n"/>
      <c r="M87" s="18" t="n"/>
    </row>
    <row r="88">
      <c r="L88" s="18" t="n"/>
      <c r="M88" s="18" t="n"/>
    </row>
    <row r="89">
      <c r="L89" s="18" t="n"/>
      <c r="M89" s="18" t="n"/>
    </row>
    <row r="90">
      <c r="L90" s="18" t="n"/>
      <c r="M90" s="18" t="n"/>
    </row>
    <row r="91">
      <c r="L91" s="18" t="n"/>
      <c r="M91" s="18" t="n"/>
    </row>
    <row r="92">
      <c r="L92" s="18" t="n"/>
      <c r="M92" s="18" t="n"/>
    </row>
    <row r="93">
      <c r="L93" s="18" t="n"/>
      <c r="M93" s="18" t="n"/>
    </row>
    <row r="94">
      <c r="L94" s="18" t="n"/>
      <c r="M94" s="18" t="n"/>
    </row>
    <row r="95">
      <c r="L95" s="18" t="n"/>
      <c r="M95" s="18" t="n"/>
    </row>
    <row r="96">
      <c r="L96" s="18" t="n"/>
      <c r="M96" s="18" t="n"/>
    </row>
    <row r="97">
      <c r="L97" s="18" t="n"/>
      <c r="M97" s="18" t="n"/>
    </row>
    <row r="98">
      <c r="L98" s="18" t="n"/>
      <c r="M98" s="18" t="n"/>
    </row>
    <row r="99">
      <c r="L99" s="18" t="n"/>
      <c r="M99" s="18" t="n"/>
    </row>
    <row r="100">
      <c r="L100" s="18" t="n"/>
      <c r="M100" s="18" t="n"/>
    </row>
    <row r="101">
      <c r="L101" s="18" t="n"/>
      <c r="M101" s="18" t="n"/>
    </row>
    <row r="102">
      <c r="L102" s="18" t="n"/>
      <c r="M102" s="18" t="n"/>
    </row>
    <row r="103">
      <c r="L103" s="18" t="n"/>
      <c r="M103" s="18" t="n"/>
    </row>
    <row r="104">
      <c r="L104" s="18" t="n"/>
      <c r="M104" s="18" t="n"/>
    </row>
    <row r="105">
      <c r="L105" s="18" t="n"/>
      <c r="M105" s="18" t="n"/>
    </row>
    <row r="106">
      <c r="L106" s="18" t="n"/>
      <c r="M106" s="18" t="n"/>
    </row>
    <row r="107">
      <c r="L107" s="18" t="n"/>
      <c r="M107" s="18" t="n"/>
    </row>
    <row r="108">
      <c r="L108" s="18" t="n"/>
      <c r="M108" s="18" t="n"/>
    </row>
    <row r="109">
      <c r="L109" s="18" t="n"/>
      <c r="M109" s="18" t="n"/>
    </row>
    <row r="110">
      <c r="L110" s="18" t="n"/>
      <c r="M110" s="18" t="n"/>
    </row>
    <row r="111">
      <c r="L111" s="18" t="n"/>
      <c r="M111" s="18" t="n"/>
    </row>
    <row r="112">
      <c r="L112" s="18" t="n"/>
      <c r="M112" s="18" t="n"/>
    </row>
    <row r="113">
      <c r="L113" s="18" t="n"/>
      <c r="M113" s="18" t="n"/>
    </row>
    <row r="114">
      <c r="L114" s="18" t="n"/>
      <c r="M114" s="18" t="n"/>
    </row>
    <row r="115">
      <c r="L115" s="18" t="n"/>
      <c r="M115" s="18" t="n"/>
    </row>
    <row r="116">
      <c r="L116" s="18" t="n"/>
      <c r="M116" s="18" t="n"/>
    </row>
    <row r="117">
      <c r="L117" s="18" t="n"/>
      <c r="M117" s="18" t="n"/>
    </row>
    <row r="118">
      <c r="L118" s="18" t="n"/>
      <c r="M118" s="18" t="n"/>
    </row>
    <row r="119">
      <c r="L119" s="18" t="n"/>
      <c r="M119" s="18" t="n"/>
    </row>
    <row r="120">
      <c r="L120" s="18" t="n"/>
      <c r="M120" s="18" t="n"/>
    </row>
    <row r="121">
      <c r="L121" s="18" t="n"/>
      <c r="M121" s="18" t="n"/>
    </row>
    <row r="122">
      <c r="L122" s="18" t="n"/>
      <c r="M122" s="18" t="n"/>
    </row>
    <row r="123">
      <c r="L123" s="18" t="n"/>
      <c r="M123" s="18" t="n"/>
    </row>
    <row r="124">
      <c r="L124" s="18" t="n"/>
      <c r="M124" s="18" t="n"/>
    </row>
    <row r="125">
      <c r="L125" s="18" t="n"/>
      <c r="M125" s="18" t="n"/>
    </row>
    <row r="126">
      <c r="L126" s="18" t="n"/>
      <c r="M126" s="18" t="n"/>
    </row>
    <row r="127">
      <c r="L127" s="18" t="n"/>
      <c r="M127" s="18" t="n"/>
    </row>
    <row r="128">
      <c r="L128" s="18" t="n"/>
      <c r="M128" s="18" t="n"/>
    </row>
    <row r="129">
      <c r="L129" s="18" t="n"/>
      <c r="M129" s="18" t="n"/>
    </row>
    <row r="130">
      <c r="L130" s="18" t="n"/>
      <c r="M130" s="18" t="n"/>
    </row>
    <row r="131">
      <c r="L131" s="18" t="n"/>
      <c r="M131" s="18" t="n"/>
    </row>
    <row r="132">
      <c r="L132" s="18" t="n"/>
      <c r="M132" s="18" t="n"/>
    </row>
    <row r="133">
      <c r="L133" s="18" t="n"/>
      <c r="M133" s="18" t="n"/>
    </row>
    <row r="134">
      <c r="L134" s="18" t="n"/>
      <c r="M134" s="18" t="n"/>
    </row>
    <row r="135">
      <c r="L135" s="18" t="n"/>
      <c r="M135" s="18" t="n"/>
    </row>
    <row r="136">
      <c r="L136" s="18" t="n"/>
      <c r="M136" s="18" t="n"/>
    </row>
    <row r="137">
      <c r="L137" s="18" t="n"/>
      <c r="M137" s="18" t="n"/>
    </row>
    <row r="138">
      <c r="L138" s="18" t="n"/>
      <c r="M138" s="18" t="n"/>
    </row>
    <row r="139">
      <c r="L139" s="18" t="n"/>
      <c r="M139" s="18" t="n"/>
    </row>
    <row r="140">
      <c r="L140" s="18" t="n"/>
      <c r="M140" s="18" t="n"/>
    </row>
    <row r="141">
      <c r="L141" s="18" t="n"/>
      <c r="M141" s="18" t="n"/>
    </row>
    <row r="142">
      <c r="L142" s="18" t="n"/>
      <c r="M142" s="18" t="n"/>
    </row>
    <row r="143">
      <c r="L143" s="18" t="n"/>
      <c r="M143" s="18" t="n"/>
    </row>
    <row r="144">
      <c r="L144" s="18" t="n"/>
      <c r="M144" s="18" t="n"/>
    </row>
    <row r="145">
      <c r="L145" s="18" t="n"/>
      <c r="M145" s="18" t="n"/>
    </row>
    <row r="146">
      <c r="L146" s="18" t="n"/>
      <c r="M146" s="18" t="n"/>
    </row>
    <row r="147">
      <c r="L147" s="18" t="n"/>
      <c r="M147" s="18" t="n"/>
    </row>
    <row r="148">
      <c r="L148" s="18" t="n"/>
      <c r="M148" s="18" t="n"/>
    </row>
    <row r="149">
      <c r="L149" s="18" t="n"/>
      <c r="M149" s="18" t="n"/>
    </row>
    <row r="150">
      <c r="L150" s="18" t="n"/>
      <c r="M150" s="18" t="n"/>
    </row>
    <row r="151">
      <c r="L151" s="18" t="n"/>
      <c r="M151" s="18" t="n"/>
    </row>
    <row r="152">
      <c r="L152" s="18" t="n"/>
      <c r="M152" s="18" t="n"/>
    </row>
    <row r="153">
      <c r="L153" s="18" t="n"/>
      <c r="M153" s="18" t="n"/>
    </row>
    <row r="154">
      <c r="L154" s="18" t="n"/>
      <c r="M154" s="18" t="n"/>
    </row>
    <row r="155">
      <c r="L155" s="18" t="n"/>
      <c r="M155" s="18" t="n"/>
    </row>
    <row r="156">
      <c r="L156" s="18" t="n"/>
      <c r="M156" s="18" t="n"/>
    </row>
    <row r="157">
      <c r="L157" s="18" t="n"/>
      <c r="M157" s="18" t="n"/>
    </row>
    <row r="158">
      <c r="L158" s="18" t="n"/>
      <c r="M158" s="18" t="n"/>
    </row>
    <row r="159">
      <c r="L159" s="18" t="n"/>
      <c r="M159" s="18" t="n"/>
    </row>
    <row r="160">
      <c r="L160" s="18" t="n"/>
      <c r="M160" s="18" t="n"/>
    </row>
    <row r="161">
      <c r="L161" s="18" t="n"/>
      <c r="M161" s="18" t="n"/>
    </row>
    <row r="162">
      <c r="L162" s="18" t="n"/>
      <c r="M162" s="18" t="n"/>
    </row>
    <row r="163">
      <c r="L163" s="18" t="n"/>
      <c r="M163" s="18" t="n"/>
    </row>
    <row r="164">
      <c r="L164" s="18" t="n"/>
      <c r="M164" s="18" t="n"/>
    </row>
    <row r="165">
      <c r="L165" s="18" t="n"/>
      <c r="M165" s="18" t="n"/>
    </row>
    <row r="166">
      <c r="L166" s="18" t="n"/>
      <c r="M166" s="18" t="n"/>
    </row>
    <row r="167">
      <c r="L167" s="18" t="n"/>
      <c r="M167" s="18" t="n"/>
    </row>
    <row r="168">
      <c r="L168" s="18" t="n"/>
      <c r="M168" s="18" t="n"/>
    </row>
    <row r="169">
      <c r="L169" s="18" t="n"/>
      <c r="M169" s="18" t="n"/>
    </row>
    <row r="170">
      <c r="L170" s="18" t="n"/>
      <c r="M170" s="18" t="n"/>
    </row>
    <row r="171">
      <c r="L171" s="18" t="n"/>
      <c r="M171" s="18" t="n"/>
    </row>
    <row r="172">
      <c r="L172" s="18" t="n"/>
      <c r="M172" s="18" t="n"/>
    </row>
    <row r="173">
      <c r="L173" s="18" t="n"/>
      <c r="M173" s="18" t="n"/>
    </row>
    <row r="174">
      <c r="L174" s="18" t="n"/>
      <c r="M174" s="18" t="n"/>
    </row>
    <row r="175">
      <c r="L175" s="18" t="n"/>
      <c r="M175" s="18" t="n"/>
    </row>
    <row r="176">
      <c r="L176" s="18" t="n"/>
      <c r="M176" s="18" t="n"/>
    </row>
    <row r="177">
      <c r="L177" s="18" t="n"/>
      <c r="M177" s="18" t="n"/>
    </row>
    <row r="178">
      <c r="L178" s="18" t="n"/>
      <c r="M178" s="18" t="n"/>
    </row>
    <row r="179">
      <c r="L179" s="18" t="n"/>
      <c r="M179" s="18" t="n"/>
    </row>
    <row r="180">
      <c r="L180" s="18" t="n"/>
      <c r="M180" s="18" t="n"/>
    </row>
    <row r="181">
      <c r="L181" s="18" t="n"/>
      <c r="M181" s="18" t="n"/>
    </row>
    <row r="182">
      <c r="L182" s="18" t="n"/>
      <c r="M182" s="18" t="n"/>
    </row>
    <row r="183">
      <c r="L183" s="18" t="n"/>
      <c r="M183" s="18" t="n"/>
    </row>
    <row r="184">
      <c r="L184" s="18" t="n"/>
      <c r="M184" s="18" t="n"/>
    </row>
    <row r="185">
      <c r="L185" s="18" t="n"/>
      <c r="M185" s="18" t="n"/>
    </row>
    <row r="186">
      <c r="L186" s="18" t="n"/>
      <c r="M186" s="18" t="n"/>
    </row>
    <row r="187">
      <c r="L187" s="18" t="n"/>
      <c r="M187" s="18" t="n"/>
    </row>
    <row r="188">
      <c r="L188" s="18" t="n"/>
      <c r="M188" s="18" t="n"/>
    </row>
    <row r="189">
      <c r="L189" s="18" t="n"/>
      <c r="M189" s="18" t="n"/>
    </row>
    <row r="190">
      <c r="L190" s="18" t="n"/>
      <c r="M190" s="18" t="n"/>
    </row>
    <row r="191">
      <c r="L191" s="18" t="n"/>
      <c r="M191" s="18" t="n"/>
    </row>
    <row r="192">
      <c r="L192" s="18" t="n"/>
      <c r="M192" s="18" t="n"/>
    </row>
    <row r="193">
      <c r="L193" s="18" t="n"/>
      <c r="M193" s="18" t="n"/>
    </row>
    <row r="194">
      <c r="L194" s="18" t="n"/>
      <c r="M194" s="18" t="n"/>
    </row>
    <row r="195">
      <c r="L195" s="18" t="n"/>
      <c r="M195" s="18" t="n"/>
    </row>
    <row r="196">
      <c r="L196" s="18" t="n"/>
      <c r="M196" s="18" t="n"/>
    </row>
    <row r="197">
      <c r="L197" s="18" t="n"/>
      <c r="M197" s="18" t="n"/>
    </row>
    <row r="198">
      <c r="L198" s="18" t="n"/>
      <c r="M198" s="18" t="n"/>
    </row>
    <row r="199">
      <c r="L199" s="18" t="n"/>
      <c r="M199" s="18" t="n"/>
    </row>
    <row r="200">
      <c r="L200" s="18" t="n"/>
      <c r="M200" s="18" t="n"/>
    </row>
    <row r="201">
      <c r="L201" s="18" t="n"/>
      <c r="M201" s="18" t="n"/>
    </row>
    <row r="202">
      <c r="L202" s="18" t="n"/>
      <c r="M202" s="18" t="n"/>
    </row>
    <row r="203">
      <c r="L203" s="18" t="n"/>
      <c r="M203" s="18" t="n"/>
    </row>
    <row r="204">
      <c r="L204" s="18" t="n"/>
      <c r="M204" s="18" t="n"/>
    </row>
    <row r="205">
      <c r="L205" s="18" t="n"/>
      <c r="M205" s="18" t="n"/>
    </row>
    <row r="206">
      <c r="L206" s="18" t="n"/>
      <c r="M206" s="18" t="n"/>
    </row>
    <row r="207">
      <c r="L207" s="18" t="n"/>
      <c r="M207" s="18" t="n"/>
    </row>
    <row r="208">
      <c r="L208" s="18" t="n"/>
      <c r="M208" s="18" t="n"/>
    </row>
    <row r="209">
      <c r="L209" s="18" t="n"/>
      <c r="M209" s="18" t="n"/>
    </row>
    <row r="210">
      <c r="L210" s="18" t="n"/>
      <c r="M210" s="18" t="n"/>
    </row>
    <row r="211">
      <c r="L211" s="18" t="n"/>
      <c r="M211" s="18" t="n"/>
    </row>
    <row r="212">
      <c r="L212" s="18" t="n"/>
      <c r="M212" s="18" t="n"/>
    </row>
    <row r="213">
      <c r="L213" s="18" t="n"/>
      <c r="M213" s="18" t="n"/>
    </row>
    <row r="214">
      <c r="L214" s="18" t="n"/>
      <c r="M214" s="18" t="n"/>
    </row>
    <row r="215">
      <c r="L215" s="18" t="n"/>
      <c r="M215" s="18" t="n"/>
    </row>
    <row r="216">
      <c r="L216" s="18" t="n"/>
      <c r="M216" s="18" t="n"/>
    </row>
    <row r="217">
      <c r="L217" s="18" t="n"/>
      <c r="M217" s="18" t="n"/>
    </row>
    <row r="218">
      <c r="L218" s="18" t="n"/>
      <c r="M218" s="18" t="n"/>
    </row>
    <row r="219">
      <c r="L219" s="18" t="n"/>
      <c r="M219" s="18" t="n"/>
    </row>
    <row r="220">
      <c r="L220" s="18" t="n"/>
      <c r="M220" s="18" t="n"/>
    </row>
    <row r="221">
      <c r="L221" s="18" t="n"/>
      <c r="M221" s="18" t="n"/>
    </row>
    <row r="222">
      <c r="L222" s="18" t="n"/>
      <c r="M222" s="18" t="n"/>
    </row>
    <row r="223">
      <c r="L223" s="18" t="n"/>
      <c r="M223" s="18" t="n"/>
    </row>
    <row r="224">
      <c r="L224" s="18" t="n"/>
      <c r="M224" s="18" t="n"/>
    </row>
    <row r="225">
      <c r="L225" s="18" t="n"/>
      <c r="M225" s="18" t="n"/>
    </row>
    <row r="226">
      <c r="L226" s="18" t="n"/>
      <c r="M226" s="18" t="n"/>
    </row>
    <row r="227">
      <c r="L227" s="18" t="n"/>
      <c r="M227" s="18" t="n"/>
    </row>
    <row r="228">
      <c r="L228" s="18" t="n"/>
      <c r="M228" s="18" t="n"/>
    </row>
    <row r="229">
      <c r="L229" s="18" t="n"/>
      <c r="M229" s="18" t="n"/>
    </row>
    <row r="230">
      <c r="L230" s="18" t="n"/>
      <c r="M230" s="18" t="n"/>
    </row>
    <row r="231">
      <c r="L231" s="18" t="n"/>
      <c r="M231" s="18" t="n"/>
    </row>
    <row r="232">
      <c r="L232" s="18" t="n"/>
      <c r="M232" s="18" t="n"/>
    </row>
    <row r="233">
      <c r="L233" s="18" t="n"/>
      <c r="M233" s="18" t="n"/>
    </row>
    <row r="234">
      <c r="L234" s="18" t="n"/>
      <c r="M234" s="18" t="n"/>
    </row>
    <row r="235">
      <c r="L235" s="18" t="n"/>
      <c r="M235" s="18" t="n"/>
    </row>
    <row r="236">
      <c r="L236" s="18" t="n"/>
      <c r="M236" s="18" t="n"/>
    </row>
    <row r="237">
      <c r="L237" s="18" t="n"/>
      <c r="M237" s="18" t="n"/>
    </row>
    <row r="238">
      <c r="L238" s="18" t="n"/>
      <c r="M238" s="18" t="n"/>
    </row>
    <row r="239">
      <c r="L239" s="18" t="n"/>
      <c r="M239" s="18" t="n"/>
    </row>
    <row r="240">
      <c r="L240" s="18" t="n"/>
      <c r="M240" s="18" t="n"/>
    </row>
    <row r="241">
      <c r="L241" s="18" t="n"/>
      <c r="M241" s="18" t="n"/>
    </row>
    <row r="242">
      <c r="L242" s="18" t="n"/>
      <c r="M242" s="18" t="n"/>
    </row>
    <row r="243">
      <c r="L243" s="18" t="n"/>
      <c r="M243" s="18" t="n"/>
    </row>
    <row r="244">
      <c r="L244" s="18" t="n"/>
      <c r="M244" s="18" t="n"/>
    </row>
    <row r="245">
      <c r="L245" s="18" t="n"/>
      <c r="M245" s="18" t="n"/>
    </row>
    <row r="246">
      <c r="L246" s="18" t="n"/>
      <c r="M246" s="18" t="n"/>
    </row>
    <row r="247">
      <c r="L247" s="18" t="n"/>
      <c r="M247" s="18" t="n"/>
    </row>
    <row r="248">
      <c r="L248" s="18" t="n"/>
      <c r="M248" s="18" t="n"/>
    </row>
    <row r="249">
      <c r="L249" s="18" t="n"/>
      <c r="M249" s="18" t="n"/>
    </row>
    <row r="250">
      <c r="L250" s="18" t="n"/>
      <c r="M250" s="18" t="n"/>
    </row>
    <row r="251">
      <c r="L251" s="18" t="n"/>
      <c r="M251" s="18" t="n"/>
    </row>
    <row r="252">
      <c r="L252" s="18" t="n"/>
      <c r="M252" s="18" t="n"/>
    </row>
    <row r="253">
      <c r="L253" s="18" t="n"/>
      <c r="M253" s="18" t="n"/>
    </row>
    <row r="254">
      <c r="L254" s="18" t="n"/>
      <c r="M254" s="18" t="n"/>
    </row>
    <row r="255">
      <c r="L255" s="18" t="n"/>
      <c r="M255" s="18" t="n"/>
    </row>
    <row r="256">
      <c r="L256" s="18" t="n"/>
      <c r="M256" s="18" t="n"/>
    </row>
    <row r="257">
      <c r="L257" s="18" t="n"/>
      <c r="M257" s="18" t="n"/>
    </row>
    <row r="258">
      <c r="L258" s="18" t="n"/>
      <c r="M258" s="18" t="n"/>
    </row>
    <row r="259">
      <c r="L259" s="18" t="n"/>
      <c r="M259" s="18" t="n"/>
    </row>
    <row r="260">
      <c r="L260" s="18" t="n"/>
      <c r="M260" s="18" t="n"/>
    </row>
    <row r="261">
      <c r="L261" s="18" t="n"/>
      <c r="M261" s="18" t="n"/>
    </row>
    <row r="262">
      <c r="L262" s="18" t="n"/>
      <c r="M262" s="18" t="n"/>
    </row>
    <row r="263">
      <c r="L263" s="18" t="n"/>
      <c r="M263" s="18" t="n"/>
    </row>
    <row r="264">
      <c r="L264" s="18" t="n"/>
      <c r="M264" s="18" t="n"/>
    </row>
    <row r="265">
      <c r="L265" s="18" t="n"/>
      <c r="M265" s="18" t="n"/>
    </row>
    <row r="266">
      <c r="L266" s="18" t="n"/>
      <c r="M266" s="18" t="n"/>
    </row>
    <row r="267">
      <c r="L267" s="18" t="n"/>
      <c r="M267" s="18" t="n"/>
    </row>
    <row r="268">
      <c r="L268" s="18" t="n"/>
      <c r="M268" s="18" t="n"/>
    </row>
    <row r="269">
      <c r="L269" s="18" t="n"/>
      <c r="M269" s="18" t="n"/>
    </row>
    <row r="270">
      <c r="L270" s="18" t="n"/>
      <c r="M270" s="18" t="n"/>
    </row>
    <row r="271">
      <c r="L271" s="18" t="n"/>
      <c r="M271" s="18" t="n"/>
    </row>
    <row r="272">
      <c r="L272" s="18" t="n"/>
      <c r="M272" s="18" t="n"/>
    </row>
    <row r="273">
      <c r="L273" s="18" t="n"/>
      <c r="M273" s="18" t="n"/>
    </row>
    <row r="274">
      <c r="L274" s="18" t="n"/>
      <c r="M274" s="18" t="n"/>
    </row>
    <row r="275">
      <c r="L275" s="18" t="n"/>
      <c r="M275" s="18" t="n"/>
    </row>
    <row r="276">
      <c r="L276" s="18" t="n"/>
      <c r="M276" s="18" t="n"/>
    </row>
    <row r="277">
      <c r="L277" s="18" t="n"/>
      <c r="M277" s="18" t="n"/>
    </row>
    <row r="278">
      <c r="L278" s="18" t="n"/>
      <c r="M278" s="18" t="n"/>
    </row>
    <row r="279">
      <c r="L279" s="18" t="n"/>
      <c r="M279" s="18" t="n"/>
    </row>
    <row r="280">
      <c r="L280" s="18" t="n"/>
      <c r="M280" s="18" t="n"/>
    </row>
    <row r="281">
      <c r="L281" s="18" t="n"/>
      <c r="M281" s="18" t="n"/>
    </row>
    <row r="282">
      <c r="L282" s="18" t="n"/>
      <c r="M282" s="18" t="n"/>
    </row>
    <row r="283">
      <c r="L283" s="18" t="n"/>
      <c r="M283" s="18" t="n"/>
    </row>
    <row r="284">
      <c r="L284" s="18" t="n"/>
      <c r="M284" s="18" t="n"/>
    </row>
    <row r="285">
      <c r="L285" s="18" t="n"/>
      <c r="M285" s="18" t="n"/>
    </row>
    <row r="286">
      <c r="L286" s="18" t="n"/>
      <c r="M286" s="18" t="n"/>
    </row>
    <row r="287">
      <c r="L287" s="18" t="n"/>
      <c r="M287" s="18" t="n"/>
    </row>
    <row r="288">
      <c r="L288" s="18" t="n"/>
      <c r="M288" s="18" t="n"/>
    </row>
    <row r="289">
      <c r="L289" s="18" t="n"/>
      <c r="M289" s="18" t="n"/>
    </row>
    <row r="290">
      <c r="L290" s="18" t="n"/>
      <c r="M290" s="18" t="n"/>
    </row>
    <row r="291">
      <c r="L291" s="18" t="n"/>
      <c r="M291" s="18" t="n"/>
    </row>
    <row r="292">
      <c r="L292" s="18" t="n"/>
      <c r="M292" s="18" t="n"/>
    </row>
    <row r="293">
      <c r="L293" s="18" t="n"/>
      <c r="M293" s="18" t="n"/>
    </row>
    <row r="294">
      <c r="L294" s="18" t="n"/>
      <c r="M294" s="18" t="n"/>
    </row>
    <row r="295">
      <c r="L295" s="18" t="n"/>
      <c r="M295" s="18" t="n"/>
    </row>
    <row r="296">
      <c r="L296" s="18" t="n"/>
      <c r="M296" s="18" t="n"/>
    </row>
    <row r="297">
      <c r="L297" s="18" t="n"/>
      <c r="M297" s="18" t="n"/>
    </row>
    <row r="298">
      <c r="L298" s="18" t="n"/>
      <c r="M298" s="18" t="n"/>
    </row>
    <row r="299">
      <c r="L299" s="18" t="n"/>
      <c r="M299" s="18" t="n"/>
    </row>
    <row r="300">
      <c r="L300" s="18" t="n"/>
      <c r="M300" s="18" t="n"/>
    </row>
    <row r="301">
      <c r="L301" s="18" t="n"/>
      <c r="M301" s="18" t="n"/>
    </row>
    <row r="302">
      <c r="L302" s="18" t="n"/>
      <c r="M302" s="18" t="n"/>
    </row>
    <row r="303">
      <c r="L303" s="18" t="n"/>
      <c r="M303" s="18" t="n"/>
    </row>
    <row r="304">
      <c r="L304" s="18" t="n"/>
      <c r="M304" s="18" t="n"/>
    </row>
    <row r="305">
      <c r="L305" s="18" t="n"/>
      <c r="M305" s="18" t="n"/>
    </row>
    <row r="306">
      <c r="L306" s="18" t="n"/>
      <c r="M306" s="18" t="n"/>
    </row>
    <row r="307">
      <c r="L307" s="18" t="n"/>
      <c r="M307" s="18" t="n"/>
    </row>
    <row r="308">
      <c r="L308" s="18" t="n"/>
      <c r="M308" s="18" t="n"/>
    </row>
    <row r="309">
      <c r="L309" s="18" t="n"/>
      <c r="M309" s="18" t="n"/>
    </row>
    <row r="310">
      <c r="L310" s="18" t="n"/>
      <c r="M310" s="18" t="n"/>
    </row>
    <row r="311">
      <c r="L311" s="18" t="n"/>
      <c r="M311" s="18" t="n"/>
    </row>
    <row r="312">
      <c r="L312" s="18" t="n"/>
      <c r="M312" s="18" t="n"/>
    </row>
    <row r="313">
      <c r="L313" s="18" t="n"/>
      <c r="M313" s="18" t="n"/>
    </row>
    <row r="314">
      <c r="L314" s="18" t="n"/>
      <c r="M314" s="18" t="n"/>
    </row>
    <row r="315">
      <c r="L315" s="18" t="n"/>
      <c r="M315" s="18" t="n"/>
    </row>
    <row r="316">
      <c r="L316" s="18" t="n"/>
      <c r="M316" s="18" t="n"/>
    </row>
    <row r="317">
      <c r="L317" s="18" t="n"/>
      <c r="M317" s="18" t="n"/>
    </row>
    <row r="318">
      <c r="L318" s="18" t="n"/>
      <c r="M318" s="18" t="n"/>
    </row>
    <row r="319">
      <c r="L319" s="18" t="n"/>
      <c r="M319" s="18" t="n"/>
    </row>
    <row r="320">
      <c r="L320" s="18" t="n"/>
      <c r="M320" s="18" t="n"/>
    </row>
    <row r="321">
      <c r="L321" s="18" t="n"/>
      <c r="M321" s="18" t="n"/>
    </row>
    <row r="322">
      <c r="L322" s="18" t="n"/>
      <c r="M322" s="18" t="n"/>
    </row>
    <row r="323">
      <c r="L323" s="18" t="n"/>
      <c r="M323" s="18" t="n"/>
    </row>
    <row r="324">
      <c r="L324" s="18" t="n"/>
      <c r="M324" s="18" t="n"/>
    </row>
    <row r="325">
      <c r="L325" s="18" t="n"/>
      <c r="M325" s="18" t="n"/>
    </row>
    <row r="326">
      <c r="L326" s="18" t="n"/>
      <c r="M326" s="18" t="n"/>
    </row>
    <row r="327">
      <c r="L327" s="18" t="n"/>
      <c r="M327" s="18" t="n"/>
    </row>
    <row r="328">
      <c r="L328" s="18" t="n"/>
      <c r="M328" s="18" t="n"/>
    </row>
    <row r="329">
      <c r="L329" s="18" t="n"/>
      <c r="M329" s="18" t="n"/>
    </row>
    <row r="330">
      <c r="L330" s="18" t="n"/>
      <c r="M330" s="18" t="n"/>
    </row>
    <row r="331">
      <c r="L331" s="18" t="n"/>
      <c r="M331" s="18" t="n"/>
    </row>
    <row r="332">
      <c r="L332" s="18" t="n"/>
      <c r="M332" s="18" t="n"/>
    </row>
    <row r="333">
      <c r="L333" s="18" t="n"/>
      <c r="M333" s="18" t="n"/>
    </row>
    <row r="334">
      <c r="L334" s="18" t="n"/>
      <c r="M334" s="18" t="n"/>
    </row>
    <row r="335">
      <c r="L335" s="18" t="n"/>
      <c r="M335" s="18" t="n"/>
    </row>
    <row r="336">
      <c r="L336" s="18" t="n"/>
      <c r="M336" s="18" t="n"/>
    </row>
    <row r="337">
      <c r="L337" s="18" t="n"/>
      <c r="M337" s="18" t="n"/>
    </row>
    <row r="338">
      <c r="L338" s="18" t="n"/>
      <c r="M338" s="18" t="n"/>
    </row>
    <row r="339">
      <c r="L339" s="18" t="n"/>
      <c r="M339" s="18" t="n"/>
    </row>
    <row r="340">
      <c r="L340" s="18" t="n"/>
      <c r="M340" s="18" t="n"/>
    </row>
    <row r="341">
      <c r="L341" s="18" t="n"/>
      <c r="M341" s="18" t="n"/>
    </row>
    <row r="342">
      <c r="L342" s="18" t="n"/>
      <c r="M342" s="18" t="n"/>
    </row>
    <row r="343">
      <c r="L343" s="18" t="n"/>
      <c r="M343" s="18" t="n"/>
    </row>
    <row r="344">
      <c r="L344" s="18" t="n"/>
      <c r="M344" s="18" t="n"/>
    </row>
    <row r="345">
      <c r="L345" s="18" t="n"/>
      <c r="M345" s="18" t="n"/>
    </row>
    <row r="346">
      <c r="L346" s="18" t="n"/>
      <c r="M346" s="18" t="n"/>
    </row>
    <row r="347">
      <c r="L347" s="18" t="n"/>
      <c r="M347" s="18" t="n"/>
    </row>
    <row r="348">
      <c r="L348" s="18" t="n"/>
      <c r="M348" s="18" t="n"/>
    </row>
    <row r="349">
      <c r="L349" s="18" t="n"/>
      <c r="M349" s="18" t="n"/>
    </row>
    <row r="350">
      <c r="L350" s="18" t="n"/>
      <c r="M350" s="18" t="n"/>
    </row>
    <row r="351">
      <c r="L351" s="18" t="n"/>
      <c r="M351" s="18" t="n"/>
    </row>
    <row r="352">
      <c r="L352" s="18" t="n"/>
      <c r="M352" s="18" t="n"/>
    </row>
    <row r="353">
      <c r="L353" s="18" t="n"/>
      <c r="M353" s="18" t="n"/>
    </row>
    <row r="354">
      <c r="L354" s="18" t="n"/>
      <c r="M354" s="18" t="n"/>
    </row>
    <row r="355">
      <c r="L355" s="18" t="n"/>
      <c r="M355" s="18" t="n"/>
    </row>
    <row r="356">
      <c r="L356" s="18" t="n"/>
      <c r="M356" s="18" t="n"/>
    </row>
    <row r="357">
      <c r="L357" s="18" t="n"/>
      <c r="M357" s="18" t="n"/>
    </row>
    <row r="358">
      <c r="L358" s="18" t="n"/>
      <c r="M358" s="18" t="n"/>
    </row>
    <row r="359">
      <c r="L359" s="18" t="n"/>
      <c r="M359" s="18" t="n"/>
    </row>
    <row r="360">
      <c r="L360" s="18" t="n"/>
      <c r="M360" s="18" t="n"/>
    </row>
    <row r="361">
      <c r="L361" s="18" t="n"/>
      <c r="M361" s="18" t="n"/>
    </row>
    <row r="362">
      <c r="L362" s="18" t="n"/>
      <c r="M362" s="18" t="n"/>
    </row>
    <row r="363">
      <c r="L363" s="18" t="n"/>
      <c r="M363" s="18" t="n"/>
    </row>
    <row r="364">
      <c r="L364" s="18" t="n"/>
      <c r="M364" s="18" t="n"/>
    </row>
    <row r="365">
      <c r="L365" s="18" t="n"/>
      <c r="M365" s="18" t="n"/>
    </row>
    <row r="366">
      <c r="L366" s="18" t="n"/>
      <c r="M366" s="18" t="n"/>
    </row>
    <row r="367">
      <c r="L367" s="18" t="n"/>
      <c r="M367" s="18" t="n"/>
    </row>
    <row r="368">
      <c r="L368" s="18" t="n"/>
      <c r="M368" s="18" t="n"/>
    </row>
    <row r="369">
      <c r="L369" s="18" t="n"/>
      <c r="M369" s="18" t="n"/>
    </row>
    <row r="370">
      <c r="L370" s="18" t="n"/>
      <c r="M370" s="18" t="n"/>
    </row>
    <row r="371">
      <c r="L371" s="18" t="n"/>
      <c r="M371" s="18" t="n"/>
    </row>
    <row r="372">
      <c r="L372" s="18" t="n"/>
      <c r="M372" s="18" t="n"/>
    </row>
    <row r="373">
      <c r="L373" s="18" t="n"/>
      <c r="M373" s="18" t="n"/>
    </row>
    <row r="374">
      <c r="L374" s="18" t="n"/>
      <c r="M374" s="18" t="n"/>
    </row>
    <row r="375">
      <c r="L375" s="18" t="n"/>
      <c r="M375" s="18" t="n"/>
    </row>
    <row r="376">
      <c r="L376" s="18" t="n"/>
      <c r="M376" s="18" t="n"/>
    </row>
    <row r="377">
      <c r="L377" s="18" t="n"/>
      <c r="M377" s="18" t="n"/>
    </row>
    <row r="378">
      <c r="L378" s="18" t="n"/>
      <c r="M378" s="18" t="n"/>
    </row>
    <row r="379">
      <c r="L379" s="18" t="n"/>
      <c r="M379" s="18" t="n"/>
    </row>
    <row r="380">
      <c r="L380" s="18" t="n"/>
      <c r="M380" s="18" t="n"/>
    </row>
    <row r="381">
      <c r="L381" s="18" t="n"/>
      <c r="M381" s="18" t="n"/>
    </row>
    <row r="382">
      <c r="L382" s="18" t="n"/>
      <c r="M382" s="18" t="n"/>
    </row>
    <row r="383">
      <c r="L383" s="18" t="n"/>
      <c r="M383" s="18" t="n"/>
    </row>
    <row r="384">
      <c r="L384" s="18" t="n"/>
      <c r="M384" s="18" t="n"/>
    </row>
    <row r="385">
      <c r="L385" s="18" t="n"/>
      <c r="M385" s="18" t="n"/>
    </row>
    <row r="386">
      <c r="L386" s="18" t="n"/>
      <c r="M386" s="18" t="n"/>
    </row>
    <row r="387">
      <c r="L387" s="18" t="n"/>
      <c r="M387" s="18" t="n"/>
    </row>
    <row r="388">
      <c r="L388" s="18" t="n"/>
      <c r="M388" s="18" t="n"/>
    </row>
    <row r="389">
      <c r="L389" s="18" t="n"/>
      <c r="M389" s="18" t="n"/>
    </row>
    <row r="390">
      <c r="L390" s="18" t="n"/>
      <c r="M390" s="18" t="n"/>
    </row>
    <row r="391">
      <c r="L391" s="18" t="n"/>
      <c r="M391" s="18" t="n"/>
    </row>
    <row r="392">
      <c r="L392" s="18" t="n"/>
      <c r="M392" s="18" t="n"/>
    </row>
    <row r="393">
      <c r="L393" s="18" t="n"/>
      <c r="M393" s="18" t="n"/>
    </row>
    <row r="394">
      <c r="L394" s="18" t="n"/>
      <c r="M394" s="18" t="n"/>
    </row>
    <row r="395">
      <c r="L395" s="18" t="n"/>
      <c r="M395" s="18" t="n"/>
    </row>
    <row r="396">
      <c r="L396" s="18" t="n"/>
      <c r="M396" s="18" t="n"/>
    </row>
    <row r="397">
      <c r="L397" s="18" t="n"/>
      <c r="M397" s="18" t="n"/>
    </row>
    <row r="398">
      <c r="L398" s="18" t="n"/>
      <c r="M398" s="18" t="n"/>
    </row>
    <row r="399">
      <c r="L399" s="18" t="n"/>
      <c r="M399" s="18" t="n"/>
    </row>
    <row r="400">
      <c r="L400" s="18" t="n"/>
      <c r="M400" s="18" t="n"/>
    </row>
    <row r="401">
      <c r="L401" s="18" t="n"/>
      <c r="M401" s="18" t="n"/>
    </row>
    <row r="402">
      <c r="L402" s="18" t="n"/>
      <c r="M402" s="18" t="n"/>
    </row>
    <row r="403">
      <c r="L403" s="18" t="n"/>
      <c r="M403" s="18" t="n"/>
    </row>
    <row r="404">
      <c r="L404" s="18" t="n"/>
      <c r="M404" s="18" t="n"/>
    </row>
    <row r="405">
      <c r="L405" s="18" t="n"/>
      <c r="M405" s="18" t="n"/>
    </row>
    <row r="406">
      <c r="L406" s="18" t="n"/>
      <c r="M406" s="18" t="n"/>
    </row>
    <row r="407">
      <c r="L407" s="18" t="n"/>
      <c r="M407" s="18" t="n"/>
    </row>
    <row r="408">
      <c r="L408" s="18" t="n"/>
      <c r="M408" s="18" t="n"/>
    </row>
    <row r="409">
      <c r="L409" s="18" t="n"/>
      <c r="M409" s="18" t="n"/>
    </row>
    <row r="410">
      <c r="L410" s="18" t="n"/>
      <c r="M410" s="18" t="n"/>
    </row>
    <row r="411">
      <c r="L411" s="18" t="n"/>
      <c r="M411" s="18" t="n"/>
    </row>
    <row r="412">
      <c r="L412" s="18" t="n"/>
      <c r="M412" s="18" t="n"/>
    </row>
    <row r="413">
      <c r="L413" s="18" t="n"/>
      <c r="M413" s="18" t="n"/>
    </row>
    <row r="414">
      <c r="L414" s="18" t="n"/>
      <c r="M414" s="18" t="n"/>
    </row>
    <row r="415">
      <c r="L415" s="18" t="n"/>
      <c r="M415" s="18" t="n"/>
    </row>
    <row r="416">
      <c r="L416" s="18" t="n"/>
      <c r="M416" s="18" t="n"/>
    </row>
    <row r="417">
      <c r="L417" s="18" t="n"/>
      <c r="M417" s="18" t="n"/>
    </row>
    <row r="418">
      <c r="L418" s="18" t="n"/>
      <c r="M418" s="18" t="n"/>
    </row>
    <row r="419">
      <c r="L419" s="18" t="n"/>
      <c r="M419" s="18" t="n"/>
    </row>
    <row r="420">
      <c r="L420" s="18" t="n"/>
      <c r="M420" s="18" t="n"/>
    </row>
    <row r="421">
      <c r="L421" s="18" t="n"/>
      <c r="M421" s="18" t="n"/>
    </row>
    <row r="422">
      <c r="L422" s="18" t="n"/>
      <c r="M422" s="18" t="n"/>
    </row>
    <row r="423">
      <c r="L423" s="18" t="n"/>
      <c r="M423" s="18" t="n"/>
    </row>
    <row r="424">
      <c r="L424" s="18" t="n"/>
      <c r="M424" s="18" t="n"/>
    </row>
    <row r="425">
      <c r="L425" s="18" t="n"/>
      <c r="M425" s="18" t="n"/>
    </row>
    <row r="426">
      <c r="L426" s="18" t="n"/>
      <c r="M426" s="18" t="n"/>
    </row>
    <row r="427">
      <c r="L427" s="18" t="n"/>
      <c r="M427" s="18" t="n"/>
    </row>
    <row r="428">
      <c r="L428" s="18" t="n"/>
      <c r="M428" s="18" t="n"/>
    </row>
    <row r="429">
      <c r="L429" s="18" t="n"/>
      <c r="M429" s="18" t="n"/>
    </row>
    <row r="430">
      <c r="L430" s="18" t="n"/>
      <c r="M430" s="18" t="n"/>
    </row>
    <row r="431">
      <c r="L431" s="18" t="n"/>
      <c r="M431" s="18" t="n"/>
    </row>
    <row r="432">
      <c r="L432" s="18" t="n"/>
      <c r="M432" s="18" t="n"/>
    </row>
    <row r="433">
      <c r="L433" s="18" t="n"/>
      <c r="M433" s="18" t="n"/>
    </row>
    <row r="434">
      <c r="L434" s="18" t="n"/>
      <c r="M434" s="18" t="n"/>
    </row>
    <row r="435">
      <c r="L435" s="18" t="n"/>
      <c r="M435" s="18" t="n"/>
    </row>
    <row r="436">
      <c r="L436" s="18" t="n"/>
      <c r="M436" s="18" t="n"/>
    </row>
    <row r="437">
      <c r="L437" s="18" t="n"/>
      <c r="M437" s="18" t="n"/>
    </row>
    <row r="438">
      <c r="L438" s="18" t="n"/>
      <c r="M438" s="18" t="n"/>
    </row>
    <row r="439">
      <c r="L439" s="18" t="n"/>
      <c r="M439" s="18" t="n"/>
    </row>
    <row r="440">
      <c r="L440" s="18" t="n"/>
      <c r="M440" s="18" t="n"/>
    </row>
    <row r="441">
      <c r="L441" s="18" t="n"/>
      <c r="M441" s="18" t="n"/>
    </row>
    <row r="442">
      <c r="L442" s="18" t="n"/>
      <c r="M442" s="18" t="n"/>
    </row>
    <row r="443">
      <c r="L443" s="18" t="n"/>
      <c r="M443" s="18" t="n"/>
    </row>
    <row r="444">
      <c r="L444" s="18" t="n"/>
      <c r="M444" s="18" t="n"/>
    </row>
    <row r="445">
      <c r="L445" s="18" t="n"/>
      <c r="M445" s="18" t="n"/>
    </row>
    <row r="446">
      <c r="L446" s="18" t="n"/>
      <c r="M446" s="18" t="n"/>
    </row>
    <row r="447">
      <c r="L447" s="18" t="n"/>
      <c r="M447" s="18" t="n"/>
    </row>
    <row r="448">
      <c r="L448" s="18" t="n"/>
      <c r="M448" s="18" t="n"/>
    </row>
    <row r="449">
      <c r="L449" s="18" t="n"/>
      <c r="M449" s="18" t="n"/>
    </row>
    <row r="450">
      <c r="L450" s="18" t="n"/>
      <c r="M450" s="18" t="n"/>
    </row>
    <row r="451">
      <c r="L451" s="18" t="n"/>
      <c r="M451" s="18" t="n"/>
    </row>
    <row r="452">
      <c r="L452" s="18" t="n"/>
      <c r="M452" s="18" t="n"/>
    </row>
    <row r="453">
      <c r="L453" s="18" t="n"/>
      <c r="M453" s="18" t="n"/>
    </row>
    <row r="454">
      <c r="L454" s="18" t="n"/>
      <c r="M454" s="18" t="n"/>
    </row>
    <row r="455">
      <c r="L455" s="18" t="n"/>
      <c r="M455" s="18" t="n"/>
    </row>
    <row r="456">
      <c r="L456" s="18" t="n"/>
      <c r="M456" s="18" t="n"/>
    </row>
    <row r="457">
      <c r="L457" s="18" t="n"/>
      <c r="M457" s="18" t="n"/>
    </row>
    <row r="458">
      <c r="L458" s="18" t="n"/>
      <c r="M458" s="18" t="n"/>
    </row>
    <row r="459">
      <c r="L459" s="18" t="n"/>
      <c r="M459" s="18" t="n"/>
    </row>
    <row r="460">
      <c r="L460" s="18" t="n"/>
      <c r="M460" s="18" t="n"/>
    </row>
    <row r="461">
      <c r="L461" s="18" t="n"/>
      <c r="M461" s="18" t="n"/>
    </row>
    <row r="462">
      <c r="L462" s="18" t="n"/>
      <c r="M462" s="18" t="n"/>
    </row>
    <row r="463">
      <c r="L463" s="18" t="n"/>
      <c r="M463" s="18" t="n"/>
    </row>
    <row r="464">
      <c r="L464" s="18" t="n"/>
      <c r="M464" s="18" t="n"/>
    </row>
    <row r="465">
      <c r="L465" s="18" t="n"/>
      <c r="M465" s="18" t="n"/>
    </row>
    <row r="466">
      <c r="L466" s="18" t="n"/>
      <c r="M466" s="18" t="n"/>
    </row>
    <row r="467">
      <c r="L467" s="18" t="n"/>
      <c r="M467" s="18" t="n"/>
    </row>
    <row r="468">
      <c r="L468" s="18" t="n"/>
      <c r="M468" s="18" t="n"/>
    </row>
    <row r="469">
      <c r="L469" s="18" t="n"/>
      <c r="M469" s="18" t="n"/>
    </row>
    <row r="470">
      <c r="L470" s="18" t="n"/>
      <c r="M470" s="18" t="n"/>
    </row>
    <row r="471">
      <c r="L471" s="18" t="n"/>
      <c r="M471" s="18" t="n"/>
    </row>
    <row r="472">
      <c r="L472" s="18" t="n"/>
      <c r="M472" s="18" t="n"/>
    </row>
    <row r="473">
      <c r="L473" s="18" t="n"/>
      <c r="M473" s="18" t="n"/>
    </row>
    <row r="474">
      <c r="L474" s="18" t="n"/>
      <c r="M474" s="18" t="n"/>
    </row>
    <row r="475">
      <c r="L475" s="18" t="n"/>
      <c r="M475" s="18" t="n"/>
    </row>
    <row r="476">
      <c r="L476" s="18" t="n"/>
      <c r="M476" s="18" t="n"/>
    </row>
    <row r="477">
      <c r="L477" s="18" t="n"/>
      <c r="M477" s="18" t="n"/>
    </row>
    <row r="478">
      <c r="L478" s="18" t="n"/>
      <c r="M478" s="18" t="n"/>
    </row>
    <row r="479">
      <c r="L479" s="18" t="n"/>
      <c r="M479" s="18" t="n"/>
    </row>
    <row r="480">
      <c r="L480" s="18" t="n"/>
      <c r="M480" s="18" t="n"/>
    </row>
    <row r="481">
      <c r="L481" s="18" t="n"/>
      <c r="M481" s="18" t="n"/>
    </row>
    <row r="482">
      <c r="L482" s="18" t="n"/>
      <c r="M482" s="18" t="n"/>
    </row>
    <row r="483">
      <c r="L483" s="18" t="n"/>
      <c r="M483" s="18" t="n"/>
    </row>
    <row r="484">
      <c r="L484" s="18" t="n"/>
      <c r="M484" s="18" t="n"/>
    </row>
    <row r="485">
      <c r="L485" s="18" t="n"/>
      <c r="M485" s="18" t="n"/>
    </row>
    <row r="486">
      <c r="L486" s="18" t="n"/>
      <c r="M486" s="18" t="n"/>
    </row>
    <row r="487">
      <c r="L487" s="18" t="n"/>
      <c r="M487" s="18" t="n"/>
    </row>
    <row r="488">
      <c r="L488" s="18" t="n"/>
      <c r="M488" s="18" t="n"/>
    </row>
    <row r="489">
      <c r="L489" s="18" t="n"/>
      <c r="M489" s="18" t="n"/>
    </row>
    <row r="490">
      <c r="L490" s="18" t="n"/>
      <c r="M490" s="18" t="n"/>
    </row>
    <row r="491">
      <c r="L491" s="18" t="n"/>
      <c r="M491" s="18" t="n"/>
    </row>
    <row r="492">
      <c r="L492" s="18" t="n"/>
      <c r="M492" s="18" t="n"/>
    </row>
    <row r="493">
      <c r="L493" s="18" t="n"/>
      <c r="M493" s="18" t="n"/>
    </row>
    <row r="494">
      <c r="L494" s="18" t="n"/>
      <c r="M494" s="18" t="n"/>
    </row>
    <row r="495">
      <c r="L495" s="18" t="n"/>
      <c r="M495" s="18" t="n"/>
    </row>
    <row r="496">
      <c r="L496" s="18" t="n"/>
      <c r="M496" s="18" t="n"/>
    </row>
    <row r="497">
      <c r="L497" s="18" t="n"/>
      <c r="M497" s="18" t="n"/>
    </row>
    <row r="498">
      <c r="L498" s="18" t="n"/>
      <c r="M498" s="18" t="n"/>
    </row>
    <row r="499">
      <c r="L499" s="18" t="n"/>
      <c r="M499" s="18" t="n"/>
    </row>
    <row r="500">
      <c r="L500" s="18" t="n"/>
      <c r="M500" s="18" t="n"/>
    </row>
  </sheetData>
  <autoFilter ref="A4:Q23"/>
  <dataValidations count="1">
    <dataValidation sqref="J6:J500" showDropDown="0" showInputMessage="0" showErrorMessage="1" allowBlank="1" errorTitle="Status" error="Use one of: planned, backlog, in-progress, review, done, dropped" type="list">
      <formula1>"planned,backlog,in-progress,review,done,dropped"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7" customWidth="1" min="3" max="3"/>
    <col width="44" customWidth="1" min="4" max="4"/>
    <col width="8" customWidth="1" min="5" max="5"/>
    <col width="26" customWidth="1" min="6" max="6"/>
    <col width="16" customWidth="1" min="7" max="7"/>
    <col width="7" customWidth="1" min="8" max="8"/>
    <col width="8" customWidth="1" min="9" max="9"/>
    <col width="13" customWidth="1" min="10" max="10"/>
    <col width="16" customWidth="1" min="11" max="11"/>
    <col width="12" customWidth="1" min="12" max="12"/>
    <col width="12" customWidth="1" min="13" max="13"/>
    <col width="34" customWidth="1" min="14" max="14"/>
    <col width="30" customWidth="1" min="15" max="15"/>
    <col width="30" customWidth="1" min="16" max="16"/>
    <col width="48" customWidth="1" min="17" max="17"/>
  </cols>
  <sheetData>
    <row r="1">
      <c r="A1" s="4" t="inlineStr">
        <is>
          <t>Lab tracker: Lab: instances, flags, detection and the assessment engine</t>
        </is>
      </c>
    </row>
    <row r="2">
      <c r="A2" s="5" t="inlineStr">
        <is>
          <t>Developer: Tanmay Gupta. Mirrors docs/bmad/initiative-lab/ (the markdown tracker is updated automatically by the Claude rule; this sheet is updated by hand). Yellow cells are yours to fill in.</t>
        </is>
      </c>
    </row>
    <row r="4">
      <c r="A4" s="6" t="inlineStr">
        <is>
          <t>Level</t>
        </is>
      </c>
      <c r="B4" s="6" t="inlineStr">
        <is>
          <t>Epic</t>
        </is>
      </c>
      <c r="C4" s="6" t="inlineStr">
        <is>
          <t>Ref</t>
        </is>
      </c>
      <c r="D4" s="6" t="inlineStr">
        <is>
          <t>Title</t>
        </is>
      </c>
      <c r="E4" s="6" t="inlineStr">
        <is>
          <t>Type</t>
        </is>
      </c>
      <c r="F4" s="6" t="inlineStr">
        <is>
          <t>Requirements</t>
        </is>
      </c>
      <c r="G4" s="6" t="inlineStr">
        <is>
          <t>Depends on</t>
        </is>
      </c>
      <c r="H4" s="6" t="inlineStr">
        <is>
          <t>HITL</t>
        </is>
      </c>
      <c r="I4" s="6" t="inlineStr">
        <is>
          <t>Risk</t>
        </is>
      </c>
      <c r="J4" s="6" t="inlineStr">
        <is>
          <t>Status</t>
        </is>
      </c>
      <c r="K4" s="6" t="inlineStr">
        <is>
          <t>Assignee</t>
        </is>
      </c>
      <c r="L4" s="6" t="inlineStr">
        <is>
          <t>Started</t>
        </is>
      </c>
      <c r="M4" s="6" t="inlineStr">
        <is>
          <t>Finished</t>
        </is>
      </c>
      <c r="N4" s="6" t="inlineStr">
        <is>
          <t>Tests run and result</t>
        </is>
      </c>
      <c r="O4" s="6" t="inlineStr">
        <is>
          <t>Dev-log entry</t>
        </is>
      </c>
      <c r="P4" s="6" t="inlineStr">
        <is>
          <t>Plan file</t>
        </is>
      </c>
      <c r="Q4" s="6" t="inlineStr">
        <is>
          <t>Notes and blockers</t>
        </is>
      </c>
    </row>
    <row r="5">
      <c r="A5" s="12" t="inlineStr">
        <is>
          <t>Example</t>
        </is>
      </c>
      <c r="B5" s="12" t="inlineStr">
        <is>
          <t>E1 Example epic</t>
        </is>
      </c>
      <c r="C5" s="12" t="inlineStr">
        <is>
          <t>1.1</t>
        </is>
      </c>
      <c r="D5" s="12" t="inlineStr">
        <is>
          <t>EXAMPLE (delete this row): Platform stack runs end to end locally</t>
        </is>
      </c>
      <c r="E5" s="12" t="inlineStr">
        <is>
          <t>story</t>
        </is>
      </c>
      <c r="F5" s="12" t="inlineStr">
        <is>
          <t>PB-7; PB-8</t>
        </is>
      </c>
      <c r="G5" s="12" t="inlineStr">
        <is>
          <t>none</t>
        </is>
      </c>
      <c r="H5" s="12" t="inlineStr">
        <is>
          <t>yes</t>
        </is>
      </c>
      <c r="I5" s="12" t="inlineStr">
        <is>
          <t>medium</t>
        </is>
      </c>
      <c r="J5" s="12" t="inlineStr">
        <is>
          <t>done</t>
        </is>
      </c>
      <c r="K5" s="12" t="inlineStr">
        <is>
          <t>Akshay Gupta</t>
        </is>
      </c>
      <c r="L5" s="12" t="inlineStr">
        <is>
          <t>2026-10-12</t>
        </is>
      </c>
      <c r="M5" s="12" t="inlineStr">
        <is>
          <t>2026-10-13</t>
        </is>
      </c>
      <c r="N5" s="12" t="inlineStr">
        <is>
          <t>Compose up on the Mac: API health OK; node scripts/verify-skills.mjs OK</t>
        </is>
      </c>
      <c r="O5" s="12" t="inlineStr">
        <is>
          <t>docs/dev-log/2026-10-13-akshay-platform-stack.md</t>
        </is>
      </c>
      <c r="P5" s="12" t="inlineStr">
        <is>
          <t>docs/bmad/initiative-platform/epic-platform-baseline/story-...-plan.md</t>
        </is>
      </c>
      <c r="Q5" s="12" t="inlineStr">
        <is>
          <t>Example of a finished row.</t>
        </is>
      </c>
    </row>
    <row r="6">
      <c r="A6" s="13" t="inlineStr">
        <is>
          <t>Epic</t>
        </is>
      </c>
      <c r="B6" s="14" t="inlineStr">
        <is>
          <t>E1 Lab baseline and sprint-zero contracts</t>
        </is>
      </c>
      <c r="C6" s="14" t="inlineStr">
        <is>
          <t>E1</t>
        </is>
      </c>
      <c r="D6" s="13" t="inlineStr">
        <is>
          <t>Lab baseline and sprint-zero contracts</t>
        </is>
      </c>
      <c r="E6" s="14" t="inlineStr">
        <is>
          <t>epic</t>
        </is>
      </c>
      <c r="F6" s="14" t="inlineStr">
        <is>
          <t>baseline: see epic file</t>
        </is>
      </c>
      <c r="G6" s="14" t="inlineStr">
        <is>
          <t>none</t>
        </is>
      </c>
      <c r="H6" s="14" t="inlineStr"/>
      <c r="I6" s="14" t="inlineStr">
        <is>
          <t>high</t>
        </is>
      </c>
      <c r="J6" s="15" t="inlineStr">
        <is>
          <t>planned</t>
        </is>
      </c>
      <c r="K6" s="15" t="inlineStr">
        <is>
          <t>Tanmay Gupta</t>
        </is>
      </c>
      <c r="L6" s="16" t="n"/>
      <c r="M6" s="16" t="n"/>
      <c r="N6" s="15" t="n"/>
      <c r="O6" s="15" t="n"/>
      <c r="P6" s="15" t="inlineStr">
        <is>
          <t>docs/bmad/initiative-lab/epic-lab-baseline/epic-lab-baseline.md</t>
        </is>
      </c>
      <c r="Q6" s="15" t="inlineStr"/>
    </row>
    <row r="7">
      <c r="A7" s="17" t="inlineStr">
        <is>
          <t>Story</t>
        </is>
      </c>
      <c r="B7" s="17" t="inlineStr">
        <is>
          <t>E1 Lab baseline and sprint-zero contracts</t>
        </is>
      </c>
      <c r="C7" s="17" t="inlineStr">
        <is>
          <t>1.1</t>
        </is>
      </c>
      <c r="D7" s="17" t="inlineStr">
        <is>
          <t>Repository skeleton and tooling run end to end (tracer bullet)</t>
        </is>
      </c>
      <c r="E7" s="17" t="inlineStr">
        <is>
          <t>story</t>
        </is>
      </c>
      <c r="F7" s="17" t="inlineStr">
        <is>
          <t>LB-1; LB-2</t>
        </is>
      </c>
      <c r="G7" s="17" t="inlineStr">
        <is>
          <t>none</t>
        </is>
      </c>
      <c r="H7" s="17" t="inlineStr">
        <is>
          <t>yes</t>
        </is>
      </c>
      <c r="I7" s="17" t="inlineStr">
        <is>
          <t>high</t>
        </is>
      </c>
      <c r="J7" s="15" t="inlineStr">
        <is>
          <t>planned</t>
        </is>
      </c>
      <c r="K7" s="15" t="inlineStr">
        <is>
          <t>Tanmay Gupta</t>
        </is>
      </c>
      <c r="L7" s="16" t="n"/>
      <c r="M7" s="16" t="n"/>
      <c r="N7" s="15" t="n"/>
      <c r="O7" s="15" t="n"/>
      <c r="P7" s="15" t="n"/>
      <c r="Q7" s="15" t="inlineStr"/>
    </row>
    <row r="8">
      <c r="A8" s="17" t="inlineStr">
        <is>
          <t>Story</t>
        </is>
      </c>
      <c r="B8" s="17" t="inlineStr">
        <is>
          <t>E1 Lab baseline and sprint-zero contracts</t>
        </is>
      </c>
      <c r="C8" s="17" t="inlineStr">
        <is>
          <t>1.2</t>
        </is>
      </c>
      <c r="D8" s="17" t="inlineStr">
        <is>
          <t>Instance contract v0 (IF-6)</t>
        </is>
      </c>
      <c r="E8" s="17" t="inlineStr">
        <is>
          <t>story</t>
        </is>
      </c>
      <c r="F8" s="17" t="inlineStr">
        <is>
          <t>LB-3</t>
        </is>
      </c>
      <c r="G8" s="17" t="inlineStr">
        <is>
          <t>1.1</t>
        </is>
      </c>
      <c r="H8" s="17" t="inlineStr">
        <is>
          <t>no</t>
        </is>
      </c>
      <c r="I8" s="17" t="inlineStr">
        <is>
          <t>medium</t>
        </is>
      </c>
      <c r="J8" s="15" t="inlineStr">
        <is>
          <t>planned</t>
        </is>
      </c>
      <c r="K8" s="15" t="inlineStr">
        <is>
          <t>Tanmay Gupta</t>
        </is>
      </c>
      <c r="L8" s="16" t="n"/>
      <c r="M8" s="16" t="n"/>
      <c r="N8" s="15" t="n"/>
      <c r="O8" s="15" t="n"/>
      <c r="P8" s="15" t="n"/>
      <c r="Q8" s="15" t="inlineStr">
        <is>
          <t>BLOCKED UNTIL: Co-owned with stream T (Sahil) who approves it as consumer; book the review before merging. Also waits on the error registry and catalogue stubs from initiative-platform epic-platform-baseline entry 2 and initiative-target epic-target-baseline entry 2; use placeholders and revisit.</t>
        </is>
      </c>
    </row>
    <row r="9">
      <c r="A9" s="17" t="inlineStr">
        <is>
          <t>Story</t>
        </is>
      </c>
      <c r="B9" s="17" t="inlineStr">
        <is>
          <t>E1 Lab baseline and sprint-zero contracts</t>
        </is>
      </c>
      <c r="C9" s="17" t="inlineStr">
        <is>
          <t>1.3</t>
        </is>
      </c>
      <c r="D9" s="17" t="inlineStr">
        <is>
          <t>Instance event schema (IF-4) and app-event names</t>
        </is>
      </c>
      <c r="E9" s="17" t="inlineStr">
        <is>
          <t>story</t>
        </is>
      </c>
      <c r="F9" s="17" t="inlineStr">
        <is>
          <t>LB-4</t>
        </is>
      </c>
      <c r="G9" s="17" t="inlineStr">
        <is>
          <t>1.2</t>
        </is>
      </c>
      <c r="H9" s="17" t="inlineStr">
        <is>
          <t>no</t>
        </is>
      </c>
      <c r="I9" s="17" t="inlineStr">
        <is>
          <t>medium</t>
        </is>
      </c>
      <c r="J9" s="15" t="inlineStr">
        <is>
          <t>planned</t>
        </is>
      </c>
      <c r="K9" s="15" t="inlineStr">
        <is>
          <t>Tanmay Gupta</t>
        </is>
      </c>
      <c r="L9" s="16" t="n"/>
      <c r="M9" s="16" t="n"/>
      <c r="N9" s="15" t="n"/>
      <c r="O9" s="15" t="n"/>
      <c r="P9" s="15" t="n"/>
      <c r="Q9" s="15" t="inlineStr"/>
    </row>
    <row r="10">
      <c r="A10" s="17" t="inlineStr">
        <is>
          <t>Story</t>
        </is>
      </c>
      <c r="B10" s="17" t="inlineStr">
        <is>
          <t>E1 Lab baseline and sprint-zero contracts</t>
        </is>
      </c>
      <c r="C10" s="17" t="inlineStr">
        <is>
          <t>1.4</t>
        </is>
      </c>
      <c r="D10" s="17" t="inlineStr">
        <is>
          <t>Orchestrator API (IF-5) and fake orchestrator</t>
        </is>
      </c>
      <c r="E10" s="17" t="inlineStr">
        <is>
          <t>story</t>
        </is>
      </c>
      <c r="F10" s="17" t="inlineStr">
        <is>
          <t>LB-5</t>
        </is>
      </c>
      <c r="G10" s="17" t="inlineStr">
        <is>
          <t>1.1</t>
        </is>
      </c>
      <c r="H10" s="17" t="inlineStr">
        <is>
          <t>no</t>
        </is>
      </c>
      <c r="I10" s="17" t="inlineStr">
        <is>
          <t>medium</t>
        </is>
      </c>
      <c r="J10" s="15" t="inlineStr">
        <is>
          <t>planned</t>
        </is>
      </c>
      <c r="K10" s="15" t="inlineStr">
        <is>
          <t>Tanmay Gupta</t>
        </is>
      </c>
      <c r="L10" s="16" t="n"/>
      <c r="M10" s="16" t="n"/>
      <c r="N10" s="15" t="n"/>
      <c r="O10" s="15" t="n"/>
      <c r="P10" s="15" t="n"/>
      <c r="Q10" s="15" t="inlineStr"/>
    </row>
    <row r="11">
      <c r="A11" s="17" t="inlineStr">
        <is>
          <t>Story</t>
        </is>
      </c>
      <c r="B11" s="17" t="inlineStr">
        <is>
          <t>E1 Lab baseline and sprint-zero contracts</t>
        </is>
      </c>
      <c r="C11" s="17" t="inlineStr">
        <is>
          <t>1.9</t>
        </is>
      </c>
      <c r="D11" s="17" t="inlineStr">
        <is>
          <t>Lab fragment of the platform API (IF-2)</t>
        </is>
      </c>
      <c r="E11" s="17" t="inlineStr">
        <is>
          <t>story</t>
        </is>
      </c>
      <c r="F11" s="17" t="inlineStr">
        <is>
          <t>LB-9</t>
        </is>
      </c>
      <c r="G11" s="17" t="inlineStr">
        <is>
          <t>1.1</t>
        </is>
      </c>
      <c r="H11" s="17" t="inlineStr">
        <is>
          <t>no</t>
        </is>
      </c>
      <c r="I11" s="17" t="inlineStr">
        <is>
          <t>medium</t>
        </is>
      </c>
      <c r="J11" s="15" t="inlineStr">
        <is>
          <t>planned</t>
        </is>
      </c>
      <c r="K11" s="15" t="inlineStr">
        <is>
          <t>Tanmay Gupta</t>
        </is>
      </c>
      <c r="L11" s="16" t="n"/>
      <c r="M11" s="16" t="n"/>
      <c r="N11" s="15" t="n"/>
      <c r="O11" s="15" t="n"/>
      <c r="P11" s="15" t="n"/>
      <c r="Q11" s="15" t="inlineStr"/>
    </row>
    <row r="12">
      <c r="A12" s="17" t="inlineStr">
        <is>
          <t>Story</t>
        </is>
      </c>
      <c r="B12" s="17" t="inlineStr">
        <is>
          <t>E1 Lab baseline and sprint-zero contracts</t>
        </is>
      </c>
      <c r="C12" s="17" t="inlineStr">
        <is>
          <t>1.5</t>
        </is>
      </c>
      <c r="D12" s="17" t="inlineStr">
        <is>
          <t>Stub shop, fake ingest and lab harness</t>
        </is>
      </c>
      <c r="E12" s="17" t="inlineStr">
        <is>
          <t>story</t>
        </is>
      </c>
      <c r="F12" s="17" t="inlineStr">
        <is>
          <t>LB-6</t>
        </is>
      </c>
      <c r="G12" s="17" t="inlineStr">
        <is>
          <t>1.2, 1.3, 1.4</t>
        </is>
      </c>
      <c r="H12" s="17" t="inlineStr">
        <is>
          <t>no</t>
        </is>
      </c>
      <c r="I12" s="17" t="inlineStr">
        <is>
          <t>high</t>
        </is>
      </c>
      <c r="J12" s="15" t="inlineStr">
        <is>
          <t>planned</t>
        </is>
      </c>
      <c r="K12" s="15" t="inlineStr">
        <is>
          <t>Tanmay Gupta</t>
        </is>
      </c>
      <c r="L12" s="16" t="n"/>
      <c r="M12" s="16" t="n"/>
      <c r="N12" s="15" t="n"/>
      <c r="O12" s="15" t="n"/>
      <c r="P12" s="15" t="n"/>
      <c r="Q12" s="15" t="inlineStr"/>
    </row>
    <row r="13">
      <c r="A13" s="17" t="inlineStr">
        <is>
          <t>Story</t>
        </is>
      </c>
      <c r="B13" s="17" t="inlineStr">
        <is>
          <t>E1 Lab baseline and sprint-zero contracts</t>
        </is>
      </c>
      <c r="C13" s="17" t="inlineStr">
        <is>
          <t>1.6</t>
        </is>
      </c>
      <c r="D13" s="17" t="inlineStr">
        <is>
          <t>Contract checks live in CI</t>
        </is>
      </c>
      <c r="E13" s="17" t="inlineStr">
        <is>
          <t>story</t>
        </is>
      </c>
      <c r="F13" s="17" t="inlineStr">
        <is>
          <t>LB-7</t>
        </is>
      </c>
      <c r="G13" s="17" t="inlineStr">
        <is>
          <t>1.2, 1.3, 1.4</t>
        </is>
      </c>
      <c r="H13" s="17" t="inlineStr">
        <is>
          <t>no</t>
        </is>
      </c>
      <c r="I13" s="17" t="inlineStr">
        <is>
          <t>medium</t>
        </is>
      </c>
      <c r="J13" s="15" t="inlineStr">
        <is>
          <t>planned</t>
        </is>
      </c>
      <c r="K13" s="15" t="inlineStr">
        <is>
          <t>Tanmay Gupta</t>
        </is>
      </c>
      <c r="L13" s="16" t="n"/>
      <c r="M13" s="16" t="n"/>
      <c r="N13" s="15" t="n"/>
      <c r="O13" s="15" t="n"/>
      <c r="P13" s="15" t="n"/>
      <c r="Q13" s="15" t="inlineStr"/>
    </row>
    <row r="14">
      <c r="A14" s="17" t="inlineStr">
        <is>
          <t>Story</t>
        </is>
      </c>
      <c r="B14" s="17" t="inlineStr">
        <is>
          <t>E1 Lab baseline and sprint-zero contracts</t>
        </is>
      </c>
      <c r="C14" s="17" t="inlineStr">
        <is>
          <t>1.7</t>
        </is>
      </c>
      <c r="D14" s="17" t="inlineStr">
        <is>
          <t>Tag contracts v1.0.0 and start the change rules</t>
        </is>
      </c>
      <c r="E14" s="17" t="inlineStr">
        <is>
          <t>story</t>
        </is>
      </c>
      <c r="F14" s="17" t="inlineStr">
        <is>
          <t>LB-8</t>
        </is>
      </c>
      <c r="G14" s="17" t="inlineStr">
        <is>
          <t>1.5, 1.6, 1.9</t>
        </is>
      </c>
      <c r="H14" s="17" t="inlineStr">
        <is>
          <t>yes</t>
        </is>
      </c>
      <c r="I14" s="17" t="inlineStr">
        <is>
          <t>medium</t>
        </is>
      </c>
      <c r="J14" s="15" t="inlineStr">
        <is>
          <t>planned</t>
        </is>
      </c>
      <c r="K14" s="15" t="inlineStr">
        <is>
          <t>Tanmay Gupta</t>
        </is>
      </c>
      <c r="L14" s="16" t="n"/>
      <c r="M14" s="16" t="n"/>
      <c r="N14" s="15" t="n"/>
      <c r="O14" s="15" t="n"/>
      <c r="P14" s="15" t="n"/>
      <c r="Q14" s="15" t="inlineStr">
        <is>
          <t>BLOCKED UNTIL: Waits on sign-offs from initiative-platform epic-platform-baseline entries 2 to 5, initiative-target epic-target-baseline entries 2 and 3 and platform entry 8; also unverified: branch protection with required code-owner review on a private personal repository (EF-30), so settle it in repository settings or use the CI approvals check.</t>
        </is>
      </c>
    </row>
    <row r="15">
      <c r="A15" s="17" t="inlineStr">
        <is>
          <t>Story</t>
        </is>
      </c>
      <c r="B15" s="17" t="inlineStr">
        <is>
          <t>E1 Lab baseline and sprint-zero contracts</t>
        </is>
      </c>
      <c r="C15" s="17" t="inlineStr">
        <is>
          <t>1.8</t>
        </is>
      </c>
      <c r="D15" s="17" t="inlineStr">
        <is>
          <t>Refactor sweep</t>
        </is>
      </c>
      <c r="E15" s="17" t="inlineStr">
        <is>
          <t>story</t>
        </is>
      </c>
      <c r="F15" s="17" t="inlineStr"/>
      <c r="G15" s="17" t="inlineStr">
        <is>
          <t>1.1, 1.2, 1.3, 1.4, 1.5, 1.6, 1.7, 1.9</t>
        </is>
      </c>
      <c r="H15" s="17" t="inlineStr">
        <is>
          <t>no</t>
        </is>
      </c>
      <c r="I15" s="17" t="inlineStr">
        <is>
          <t>low</t>
        </is>
      </c>
      <c r="J15" s="15" t="inlineStr">
        <is>
          <t>planned</t>
        </is>
      </c>
      <c r="K15" s="15" t="inlineStr">
        <is>
          <t>Tanmay Gupta</t>
        </is>
      </c>
      <c r="L15" s="16" t="n"/>
      <c r="M15" s="16" t="n"/>
      <c r="N15" s="15" t="n"/>
      <c r="O15" s="15" t="n"/>
      <c r="P15" s="15" t="n"/>
      <c r="Q15" s="15" t="inlineStr"/>
    </row>
    <row r="16">
      <c r="A16" s="13" t="inlineStr">
        <is>
          <t>Epic</t>
        </is>
      </c>
      <c r="B16" s="14" t="inlineStr">
        <is>
          <t>E2 Two Oracle VMs, certificates and deployment pipelines</t>
        </is>
      </c>
      <c r="C16" s="14" t="inlineStr">
        <is>
          <t>E2</t>
        </is>
      </c>
      <c r="D16" s="13" t="inlineStr">
        <is>
          <t>Two Oracle VMs, certificates and deployment pipelines</t>
        </is>
      </c>
      <c r="E16" s="14" t="inlineStr">
        <is>
          <t>epic</t>
        </is>
      </c>
      <c r="F16" s="14" t="inlineStr">
        <is>
          <t>baseline: see epic file</t>
        </is>
      </c>
      <c r="G16" s="14" t="inlineStr">
        <is>
          <t>E1</t>
        </is>
      </c>
      <c r="H16" s="14" t="inlineStr"/>
      <c r="I16" s="14" t="inlineStr">
        <is>
          <t>high</t>
        </is>
      </c>
      <c r="J16" s="15" t="inlineStr">
        <is>
          <t>planned</t>
        </is>
      </c>
      <c r="K16" s="15" t="inlineStr">
        <is>
          <t>Tanmay Gupta</t>
        </is>
      </c>
      <c r="L16" s="16" t="n"/>
      <c r="M16" s="16" t="n"/>
      <c r="N16" s="15" t="n"/>
      <c r="O16" s="15" t="n"/>
      <c r="P16" s="15" t="inlineStr">
        <is>
          <t>docs/bmad/initiative-lab/epic-environments-and-deployment/epic-environments-and-deployment.md</t>
        </is>
      </c>
      <c r="Q16" s="15" t="inlineStr">
        <is>
          <t>Stories are created one at a time by the developer (BMAD).</t>
        </is>
      </c>
    </row>
    <row r="17">
      <c r="A17" s="13" t="inlineStr">
        <is>
          <t>Epic</t>
        </is>
      </c>
      <c r="B17" s="14" t="inlineStr">
        <is>
          <t>E3 Instances start, run, reset and clean up reliably</t>
        </is>
      </c>
      <c r="C17" s="14" t="inlineStr">
        <is>
          <t>E3</t>
        </is>
      </c>
      <c r="D17" s="13" t="inlineStr">
        <is>
          <t>Instances start, run, reset and clean up reliably</t>
        </is>
      </c>
      <c r="E17" s="14" t="inlineStr">
        <is>
          <t>epic</t>
        </is>
      </c>
      <c r="F17" s="14" t="inlineStr">
        <is>
          <t>FR-INS-01 to 09; FR-INS-11</t>
        </is>
      </c>
      <c r="G17" s="14" t="inlineStr">
        <is>
          <t>E1, E2</t>
        </is>
      </c>
      <c r="H17" s="14" t="inlineStr"/>
      <c r="I17" s="14" t="inlineStr">
        <is>
          <t>high</t>
        </is>
      </c>
      <c r="J17" s="15" t="inlineStr">
        <is>
          <t>planned</t>
        </is>
      </c>
      <c r="K17" s="15" t="inlineStr">
        <is>
          <t>Tanmay Gupta</t>
        </is>
      </c>
      <c r="L17" s="16" t="n"/>
      <c r="M17" s="16" t="n"/>
      <c r="N17" s="15" t="n"/>
      <c r="O17" s="15" t="n"/>
      <c r="P17" s="15" t="inlineStr">
        <is>
          <t>docs/bmad/initiative-lab/epic-orchestrator-and-instance-lifecycle/epic-orchestrator-and-instance-lifecycle.md</t>
        </is>
      </c>
      <c r="Q17" s="15" t="inlineStr">
        <is>
          <t>Stories are created one at a time by the developer (BMAD).</t>
        </is>
      </c>
    </row>
    <row r="18">
      <c r="A18" s="13" t="inlineStr">
        <is>
          <t>Epic</t>
        </is>
      </c>
      <c r="B18" s="14" t="inlineStr">
        <is>
          <t>E4 Instances are isolated and the host is protected</t>
        </is>
      </c>
      <c r="C18" s="14" t="inlineStr">
        <is>
          <t>E4</t>
        </is>
      </c>
      <c r="D18" s="13" t="inlineStr">
        <is>
          <t>Instances are isolated and the host is protected</t>
        </is>
      </c>
      <c r="E18" s="14" t="inlineStr">
        <is>
          <t>epic</t>
        </is>
      </c>
      <c r="F18" s="14" t="inlineStr">
        <is>
          <t>baseline: see epic file</t>
        </is>
      </c>
      <c r="G18" s="14" t="inlineStr">
        <is>
          <t>E3</t>
        </is>
      </c>
      <c r="H18" s="14" t="inlineStr"/>
      <c r="I18" s="14" t="inlineStr">
        <is>
          <t>high</t>
        </is>
      </c>
      <c r="J18" s="15" t="inlineStr">
        <is>
          <t>planned</t>
        </is>
      </c>
      <c r="K18" s="15" t="inlineStr">
        <is>
          <t>Tanmay Gupta</t>
        </is>
      </c>
      <c r="L18" s="16" t="n"/>
      <c r="M18" s="16" t="n"/>
      <c r="N18" s="15" t="n"/>
      <c r="O18" s="15" t="n"/>
      <c r="P18" s="15" t="inlineStr">
        <is>
          <t>docs/bmad/initiative-lab/epic-isolation-and-hardening/epic-isolation-and-hardening.md</t>
        </is>
      </c>
      <c r="Q18" s="15" t="inlineStr">
        <is>
          <t>Stories are created one at a time by the developer (BMAD).</t>
        </is>
      </c>
    </row>
    <row r="19">
      <c r="A19" s="13" t="inlineStr">
        <is>
          <t>Epic</t>
        </is>
      </c>
      <c r="B19" s="14" t="inlineStr">
        <is>
          <t>E5 Only the owner reaches an instance, and events reach the platform</t>
        </is>
      </c>
      <c r="C19" s="14" t="inlineStr">
        <is>
          <t>E5</t>
        </is>
      </c>
      <c r="D19" s="13" t="inlineStr">
        <is>
          <t>Only the owner reaches an instance, and events reach the platform</t>
        </is>
      </c>
      <c r="E19" s="14" t="inlineStr">
        <is>
          <t>epic</t>
        </is>
      </c>
      <c r="F19" s="14" t="inlineStr">
        <is>
          <t>FR-INS-10; FR-SES-11</t>
        </is>
      </c>
      <c r="G19" s="14" t="inlineStr">
        <is>
          <t>E3, E4</t>
        </is>
      </c>
      <c r="H19" s="14" t="inlineStr"/>
      <c r="I19" s="14" t="inlineStr">
        <is>
          <t>high</t>
        </is>
      </c>
      <c r="J19" s="15" t="inlineStr">
        <is>
          <t>planned</t>
        </is>
      </c>
      <c r="K19" s="15" t="inlineStr">
        <is>
          <t>Tanmay Gupta</t>
        </is>
      </c>
      <c r="L19" s="16" t="n"/>
      <c r="M19" s="16" t="n"/>
      <c r="N19" s="15" t="n"/>
      <c r="O19" s="15" t="n"/>
      <c r="P19" s="15" t="inlineStr">
        <is>
          <t>docs/bmad/initiative-lab/epic-edge-gate-and-event-path/epic-edge-gate-and-event-path.md</t>
        </is>
      </c>
      <c r="Q19" s="15" t="inlineStr">
        <is>
          <t>Stories are created one at a time by the developer (BMAD).</t>
        </is>
      </c>
    </row>
    <row r="20">
      <c r="A20" s="13" t="inlineStr">
        <is>
          <t>Epic</t>
        </is>
      </c>
      <c r="B20" s="14" t="inlineStr">
        <is>
          <t>E6 Flags are unique and every exploit is detected</t>
        </is>
      </c>
      <c r="C20" s="14" t="inlineStr">
        <is>
          <t>E6</t>
        </is>
      </c>
      <c r="D20" s="13" t="inlineStr">
        <is>
          <t>Flags are unique and every exploit is detected</t>
        </is>
      </c>
      <c r="E20" s="14" t="inlineStr">
        <is>
          <t>epic</t>
        </is>
      </c>
      <c r="F20" s="14" t="inlineStr">
        <is>
          <t>FR-FLG-01 to 09; FR-DET-01 to 09</t>
        </is>
      </c>
      <c r="G20" s="14" t="inlineStr">
        <is>
          <t>E5, E3</t>
        </is>
      </c>
      <c r="H20" s="14" t="inlineStr"/>
      <c r="I20" s="14" t="inlineStr">
        <is>
          <t>high</t>
        </is>
      </c>
      <c r="J20" s="15" t="inlineStr">
        <is>
          <t>planned</t>
        </is>
      </c>
      <c r="K20" s="15" t="inlineStr">
        <is>
          <t>Tanmay Gupta</t>
        </is>
      </c>
      <c r="L20" s="16" t="n"/>
      <c r="M20" s="16" t="n"/>
      <c r="N20" s="15" t="n"/>
      <c r="O20" s="15" t="n"/>
      <c r="P20" s="15" t="inlineStr">
        <is>
          <t>docs/bmad/initiative-lab/epic-flags-detection-and-sidecar/epic-flags-detection-and-sidecar.md</t>
        </is>
      </c>
      <c r="Q20" s="15" t="inlineStr">
        <is>
          <t>Stories are created one at a time by the developer (BMAD).</t>
        </is>
      </c>
    </row>
    <row r="21">
      <c r="A21" s="13" t="inlineStr">
        <is>
          <t>Epic</t>
        </is>
      </c>
      <c r="B21" s="14" t="inlineStr">
        <is>
          <t>E7 Attempts, scores, time and integrity are fair and explainable</t>
        </is>
      </c>
      <c r="C21" s="14" t="inlineStr">
        <is>
          <t>E7</t>
        </is>
      </c>
      <c r="D21" s="13" t="inlineStr">
        <is>
          <t>Attempts, scores, time and integrity are fair and explainable</t>
        </is>
      </c>
      <c r="E21" s="14" t="inlineStr">
        <is>
          <t>epic</t>
        </is>
      </c>
      <c r="F21" s="14" t="inlineStr">
        <is>
          <t>FR-SES-01 to 10; FR-SCR-01 to 10; FR-TIM-01 to 05; FR-ACH-01 to 07</t>
        </is>
      </c>
      <c r="G21" s="14" t="inlineStr">
        <is>
          <t>E6</t>
        </is>
      </c>
      <c r="H21" s="14" t="inlineStr"/>
      <c r="I21" s="14" t="inlineStr">
        <is>
          <t>high</t>
        </is>
      </c>
      <c r="J21" s="15" t="inlineStr">
        <is>
          <t>planned</t>
        </is>
      </c>
      <c r="K21" s="15" t="inlineStr">
        <is>
          <t>Tanmay Gupta</t>
        </is>
      </c>
      <c r="L21" s="16" t="n"/>
      <c r="M21" s="16" t="n"/>
      <c r="N21" s="15" t="n"/>
      <c r="O21" s="15" t="n"/>
      <c r="P21" s="15" t="inlineStr">
        <is>
          <t>docs/bmad/initiative-lab/epic-attempts-scoring-and-integrity/epic-attempts-scoring-and-integrity.md</t>
        </is>
      </c>
      <c r="Q21" s="15" t="inlineStr">
        <is>
          <t>Stories are created one at a time by the developer (BMAD).</t>
        </is>
      </c>
    </row>
    <row r="22">
      <c r="A22" s="13" t="inlineStr">
        <is>
          <t>Epic</t>
        </is>
      </c>
      <c r="B22" s="14" t="inlineStr">
        <is>
          <t>E8 End-to-end suite and demo readiness</t>
        </is>
      </c>
      <c r="C22" s="14" t="inlineStr">
        <is>
          <t>E8</t>
        </is>
      </c>
      <c r="D22" s="13" t="inlineStr">
        <is>
          <t>End-to-end suite and demo readiness</t>
        </is>
      </c>
      <c r="E22" s="14" t="inlineStr">
        <is>
          <t>epic</t>
        </is>
      </c>
      <c r="F22" s="14" t="inlineStr">
        <is>
          <t>baseline: see epic file</t>
        </is>
      </c>
      <c r="G22" s="14" t="inlineStr">
        <is>
          <t>E7</t>
        </is>
      </c>
      <c r="H22" s="14" t="inlineStr"/>
      <c r="I22" s="14" t="inlineStr">
        <is>
          <t>medium</t>
        </is>
      </c>
      <c r="J22" s="15" t="inlineStr">
        <is>
          <t>planned</t>
        </is>
      </c>
      <c r="K22" s="15" t="inlineStr">
        <is>
          <t>Tanmay Gupta</t>
        </is>
      </c>
      <c r="L22" s="16" t="n"/>
      <c r="M22" s="16" t="n"/>
      <c r="N22" s="15" t="n"/>
      <c r="O22" s="15" t="n"/>
      <c r="P22" s="15" t="inlineStr">
        <is>
          <t>docs/bmad/initiative-lab/epic-integration-and-demo-readiness/epic-integration-and-demo-readiness.md</t>
        </is>
      </c>
      <c r="Q22" s="15" t="inlineStr">
        <is>
          <t>Stories are created one at a time by the developer (BMAD).</t>
        </is>
      </c>
    </row>
    <row r="23">
      <c r="L23" s="18" t="n"/>
      <c r="M23" s="18" t="n"/>
    </row>
    <row r="24">
      <c r="L24" s="18" t="n"/>
      <c r="M24" s="18" t="n"/>
    </row>
    <row r="25">
      <c r="L25" s="18" t="n"/>
      <c r="M25" s="18" t="n"/>
    </row>
    <row r="26">
      <c r="L26" s="18" t="n"/>
      <c r="M26" s="18" t="n"/>
    </row>
    <row r="27">
      <c r="L27" s="18" t="n"/>
      <c r="M27" s="18" t="n"/>
    </row>
    <row r="28">
      <c r="L28" s="18" t="n"/>
      <c r="M28" s="18" t="n"/>
    </row>
    <row r="29">
      <c r="L29" s="18" t="n"/>
      <c r="M29" s="18" t="n"/>
    </row>
    <row r="30">
      <c r="L30" s="18" t="n"/>
      <c r="M30" s="18" t="n"/>
    </row>
    <row r="31">
      <c r="L31" s="18" t="n"/>
      <c r="M31" s="18" t="n"/>
    </row>
    <row r="32">
      <c r="L32" s="18" t="n"/>
      <c r="M32" s="18" t="n"/>
    </row>
    <row r="33">
      <c r="L33" s="18" t="n"/>
      <c r="M33" s="18" t="n"/>
    </row>
    <row r="34">
      <c r="L34" s="18" t="n"/>
      <c r="M34" s="18" t="n"/>
    </row>
    <row r="35">
      <c r="L35" s="18" t="n"/>
      <c r="M35" s="18" t="n"/>
    </row>
    <row r="36">
      <c r="L36" s="18" t="n"/>
      <c r="M36" s="18" t="n"/>
    </row>
    <row r="37">
      <c r="L37" s="18" t="n"/>
      <c r="M37" s="18" t="n"/>
    </row>
    <row r="38">
      <c r="L38" s="18" t="n"/>
      <c r="M38" s="18" t="n"/>
    </row>
    <row r="39">
      <c r="L39" s="18" t="n"/>
      <c r="M39" s="18" t="n"/>
    </row>
    <row r="40">
      <c r="L40" s="18" t="n"/>
      <c r="M40" s="18" t="n"/>
    </row>
    <row r="41">
      <c r="L41" s="18" t="n"/>
      <c r="M41" s="18" t="n"/>
    </row>
    <row r="42">
      <c r="L42" s="18" t="n"/>
      <c r="M42" s="18" t="n"/>
    </row>
    <row r="43">
      <c r="L43" s="18" t="n"/>
      <c r="M43" s="18" t="n"/>
    </row>
    <row r="44">
      <c r="L44" s="18" t="n"/>
      <c r="M44" s="18" t="n"/>
    </row>
    <row r="45">
      <c r="L45" s="18" t="n"/>
      <c r="M45" s="18" t="n"/>
    </row>
    <row r="46">
      <c r="L46" s="18" t="n"/>
      <c r="M46" s="18" t="n"/>
    </row>
    <row r="47">
      <c r="L47" s="18" t="n"/>
      <c r="M47" s="18" t="n"/>
    </row>
    <row r="48">
      <c r="L48" s="18" t="n"/>
      <c r="M48" s="18" t="n"/>
    </row>
    <row r="49">
      <c r="L49" s="18" t="n"/>
      <c r="M49" s="18" t="n"/>
    </row>
    <row r="50">
      <c r="L50" s="18" t="n"/>
      <c r="M50" s="18" t="n"/>
    </row>
    <row r="51">
      <c r="L51" s="18" t="n"/>
      <c r="M51" s="18" t="n"/>
    </row>
    <row r="52">
      <c r="L52" s="18" t="n"/>
      <c r="M52" s="18" t="n"/>
    </row>
    <row r="53">
      <c r="L53" s="18" t="n"/>
      <c r="M53" s="18" t="n"/>
    </row>
    <row r="54">
      <c r="L54" s="18" t="n"/>
      <c r="M54" s="18" t="n"/>
    </row>
    <row r="55">
      <c r="L55" s="18" t="n"/>
      <c r="M55" s="18" t="n"/>
    </row>
    <row r="56">
      <c r="L56" s="18" t="n"/>
      <c r="M56" s="18" t="n"/>
    </row>
    <row r="57">
      <c r="L57" s="18" t="n"/>
      <c r="M57" s="18" t="n"/>
    </row>
    <row r="58">
      <c r="L58" s="18" t="n"/>
      <c r="M58" s="18" t="n"/>
    </row>
    <row r="59">
      <c r="L59" s="18" t="n"/>
      <c r="M59" s="18" t="n"/>
    </row>
    <row r="60">
      <c r="L60" s="18" t="n"/>
      <c r="M60" s="18" t="n"/>
    </row>
    <row r="61">
      <c r="L61" s="18" t="n"/>
      <c r="M61" s="18" t="n"/>
    </row>
    <row r="62">
      <c r="L62" s="18" t="n"/>
      <c r="M62" s="18" t="n"/>
    </row>
    <row r="63">
      <c r="L63" s="18" t="n"/>
      <c r="M63" s="18" t="n"/>
    </row>
    <row r="64">
      <c r="L64" s="18" t="n"/>
      <c r="M64" s="18" t="n"/>
    </row>
    <row r="65">
      <c r="L65" s="18" t="n"/>
      <c r="M65" s="18" t="n"/>
    </row>
    <row r="66">
      <c r="L66" s="18" t="n"/>
      <c r="M66" s="18" t="n"/>
    </row>
    <row r="67">
      <c r="L67" s="18" t="n"/>
      <c r="M67" s="18" t="n"/>
    </row>
    <row r="68">
      <c r="L68" s="18" t="n"/>
      <c r="M68" s="18" t="n"/>
    </row>
    <row r="69">
      <c r="L69" s="18" t="n"/>
      <c r="M69" s="18" t="n"/>
    </row>
    <row r="70">
      <c r="L70" s="18" t="n"/>
      <c r="M70" s="18" t="n"/>
    </row>
    <row r="71">
      <c r="L71" s="18" t="n"/>
      <c r="M71" s="18" t="n"/>
    </row>
    <row r="72">
      <c r="L72" s="18" t="n"/>
      <c r="M72" s="18" t="n"/>
    </row>
    <row r="73">
      <c r="L73" s="18" t="n"/>
      <c r="M73" s="18" t="n"/>
    </row>
    <row r="74">
      <c r="L74" s="18" t="n"/>
      <c r="M74" s="18" t="n"/>
    </row>
    <row r="75">
      <c r="L75" s="18" t="n"/>
      <c r="M75" s="18" t="n"/>
    </row>
    <row r="76">
      <c r="L76" s="18" t="n"/>
      <c r="M76" s="18" t="n"/>
    </row>
    <row r="77">
      <c r="L77" s="18" t="n"/>
      <c r="M77" s="18" t="n"/>
    </row>
    <row r="78">
      <c r="L78" s="18" t="n"/>
      <c r="M78" s="18" t="n"/>
    </row>
    <row r="79">
      <c r="L79" s="18" t="n"/>
      <c r="M79" s="18" t="n"/>
    </row>
    <row r="80">
      <c r="L80" s="18" t="n"/>
      <c r="M80" s="18" t="n"/>
    </row>
    <row r="81">
      <c r="L81" s="18" t="n"/>
      <c r="M81" s="18" t="n"/>
    </row>
    <row r="82">
      <c r="L82" s="18" t="n"/>
      <c r="M82" s="18" t="n"/>
    </row>
    <row r="83">
      <c r="L83" s="18" t="n"/>
      <c r="M83" s="18" t="n"/>
    </row>
    <row r="84">
      <c r="L84" s="18" t="n"/>
      <c r="M84" s="18" t="n"/>
    </row>
    <row r="85">
      <c r="L85" s="18" t="n"/>
      <c r="M85" s="18" t="n"/>
    </row>
    <row r="86">
      <c r="L86" s="18" t="n"/>
      <c r="M86" s="18" t="n"/>
    </row>
    <row r="87">
      <c r="L87" s="18" t="n"/>
      <c r="M87" s="18" t="n"/>
    </row>
    <row r="88">
      <c r="L88" s="18" t="n"/>
      <c r="M88" s="18" t="n"/>
    </row>
    <row r="89">
      <c r="L89" s="18" t="n"/>
      <c r="M89" s="18" t="n"/>
    </row>
    <row r="90">
      <c r="L90" s="18" t="n"/>
      <c r="M90" s="18" t="n"/>
    </row>
    <row r="91">
      <c r="L91" s="18" t="n"/>
      <c r="M91" s="18" t="n"/>
    </row>
    <row r="92">
      <c r="L92" s="18" t="n"/>
      <c r="M92" s="18" t="n"/>
    </row>
    <row r="93">
      <c r="L93" s="18" t="n"/>
      <c r="M93" s="18" t="n"/>
    </row>
    <row r="94">
      <c r="L94" s="18" t="n"/>
      <c r="M94" s="18" t="n"/>
    </row>
    <row r="95">
      <c r="L95" s="18" t="n"/>
      <c r="M95" s="18" t="n"/>
    </row>
    <row r="96">
      <c r="L96" s="18" t="n"/>
      <c r="M96" s="18" t="n"/>
    </row>
    <row r="97">
      <c r="L97" s="18" t="n"/>
      <c r="M97" s="18" t="n"/>
    </row>
    <row r="98">
      <c r="L98" s="18" t="n"/>
      <c r="M98" s="18" t="n"/>
    </row>
    <row r="99">
      <c r="L99" s="18" t="n"/>
      <c r="M99" s="18" t="n"/>
    </row>
    <row r="100">
      <c r="L100" s="18" t="n"/>
      <c r="M100" s="18" t="n"/>
    </row>
    <row r="101">
      <c r="L101" s="18" t="n"/>
      <c r="M101" s="18" t="n"/>
    </row>
    <row r="102">
      <c r="L102" s="18" t="n"/>
      <c r="M102" s="18" t="n"/>
    </row>
    <row r="103">
      <c r="L103" s="18" t="n"/>
      <c r="M103" s="18" t="n"/>
    </row>
    <row r="104">
      <c r="L104" s="18" t="n"/>
      <c r="M104" s="18" t="n"/>
    </row>
    <row r="105">
      <c r="L105" s="18" t="n"/>
      <c r="M105" s="18" t="n"/>
    </row>
    <row r="106">
      <c r="L106" s="18" t="n"/>
      <c r="M106" s="18" t="n"/>
    </row>
    <row r="107">
      <c r="L107" s="18" t="n"/>
      <c r="M107" s="18" t="n"/>
    </row>
    <row r="108">
      <c r="L108" s="18" t="n"/>
      <c r="M108" s="18" t="n"/>
    </row>
    <row r="109">
      <c r="L109" s="18" t="n"/>
      <c r="M109" s="18" t="n"/>
    </row>
    <row r="110">
      <c r="L110" s="18" t="n"/>
      <c r="M110" s="18" t="n"/>
    </row>
    <row r="111">
      <c r="L111" s="18" t="n"/>
      <c r="M111" s="18" t="n"/>
    </row>
    <row r="112">
      <c r="L112" s="18" t="n"/>
      <c r="M112" s="18" t="n"/>
    </row>
    <row r="113">
      <c r="L113" s="18" t="n"/>
      <c r="M113" s="18" t="n"/>
    </row>
    <row r="114">
      <c r="L114" s="18" t="n"/>
      <c r="M114" s="18" t="n"/>
    </row>
    <row r="115">
      <c r="L115" s="18" t="n"/>
      <c r="M115" s="18" t="n"/>
    </row>
    <row r="116">
      <c r="L116" s="18" t="n"/>
      <c r="M116" s="18" t="n"/>
    </row>
    <row r="117">
      <c r="L117" s="18" t="n"/>
      <c r="M117" s="18" t="n"/>
    </row>
    <row r="118">
      <c r="L118" s="18" t="n"/>
      <c r="M118" s="18" t="n"/>
    </row>
    <row r="119">
      <c r="L119" s="18" t="n"/>
      <c r="M119" s="18" t="n"/>
    </row>
    <row r="120">
      <c r="L120" s="18" t="n"/>
      <c r="M120" s="18" t="n"/>
    </row>
    <row r="121">
      <c r="L121" s="18" t="n"/>
      <c r="M121" s="18" t="n"/>
    </row>
    <row r="122">
      <c r="L122" s="18" t="n"/>
      <c r="M122" s="18" t="n"/>
    </row>
    <row r="123">
      <c r="L123" s="18" t="n"/>
      <c r="M123" s="18" t="n"/>
    </row>
    <row r="124">
      <c r="L124" s="18" t="n"/>
      <c r="M124" s="18" t="n"/>
    </row>
    <row r="125">
      <c r="L125" s="18" t="n"/>
      <c r="M125" s="18" t="n"/>
    </row>
    <row r="126">
      <c r="L126" s="18" t="n"/>
      <c r="M126" s="18" t="n"/>
    </row>
    <row r="127">
      <c r="L127" s="18" t="n"/>
      <c r="M127" s="18" t="n"/>
    </row>
    <row r="128">
      <c r="L128" s="18" t="n"/>
      <c r="M128" s="18" t="n"/>
    </row>
    <row r="129">
      <c r="L129" s="18" t="n"/>
      <c r="M129" s="18" t="n"/>
    </row>
    <row r="130">
      <c r="L130" s="18" t="n"/>
      <c r="M130" s="18" t="n"/>
    </row>
    <row r="131">
      <c r="L131" s="18" t="n"/>
      <c r="M131" s="18" t="n"/>
    </row>
    <row r="132">
      <c r="L132" s="18" t="n"/>
      <c r="M132" s="18" t="n"/>
    </row>
    <row r="133">
      <c r="L133" s="18" t="n"/>
      <c r="M133" s="18" t="n"/>
    </row>
    <row r="134">
      <c r="L134" s="18" t="n"/>
      <c r="M134" s="18" t="n"/>
    </row>
    <row r="135">
      <c r="L135" s="18" t="n"/>
      <c r="M135" s="18" t="n"/>
    </row>
    <row r="136">
      <c r="L136" s="18" t="n"/>
      <c r="M136" s="18" t="n"/>
    </row>
    <row r="137">
      <c r="L137" s="18" t="n"/>
      <c r="M137" s="18" t="n"/>
    </row>
    <row r="138">
      <c r="L138" s="18" t="n"/>
      <c r="M138" s="18" t="n"/>
    </row>
    <row r="139">
      <c r="L139" s="18" t="n"/>
      <c r="M139" s="18" t="n"/>
    </row>
    <row r="140">
      <c r="L140" s="18" t="n"/>
      <c r="M140" s="18" t="n"/>
    </row>
    <row r="141">
      <c r="L141" s="18" t="n"/>
      <c r="M141" s="18" t="n"/>
    </row>
    <row r="142">
      <c r="L142" s="18" t="n"/>
      <c r="M142" s="18" t="n"/>
    </row>
    <row r="143">
      <c r="L143" s="18" t="n"/>
      <c r="M143" s="18" t="n"/>
    </row>
    <row r="144">
      <c r="L144" s="18" t="n"/>
      <c r="M144" s="18" t="n"/>
    </row>
    <row r="145">
      <c r="L145" s="18" t="n"/>
      <c r="M145" s="18" t="n"/>
    </row>
    <row r="146">
      <c r="L146" s="18" t="n"/>
      <c r="M146" s="18" t="n"/>
    </row>
    <row r="147">
      <c r="L147" s="18" t="n"/>
      <c r="M147" s="18" t="n"/>
    </row>
    <row r="148">
      <c r="L148" s="18" t="n"/>
      <c r="M148" s="18" t="n"/>
    </row>
    <row r="149">
      <c r="L149" s="18" t="n"/>
      <c r="M149" s="18" t="n"/>
    </row>
    <row r="150">
      <c r="L150" s="18" t="n"/>
      <c r="M150" s="18" t="n"/>
    </row>
    <row r="151">
      <c r="L151" s="18" t="n"/>
      <c r="M151" s="18" t="n"/>
    </row>
    <row r="152">
      <c r="L152" s="18" t="n"/>
      <c r="M152" s="18" t="n"/>
    </row>
    <row r="153">
      <c r="L153" s="18" t="n"/>
      <c r="M153" s="18" t="n"/>
    </row>
    <row r="154">
      <c r="L154" s="18" t="n"/>
      <c r="M154" s="18" t="n"/>
    </row>
    <row r="155">
      <c r="L155" s="18" t="n"/>
      <c r="M155" s="18" t="n"/>
    </row>
    <row r="156">
      <c r="L156" s="18" t="n"/>
      <c r="M156" s="18" t="n"/>
    </row>
    <row r="157">
      <c r="L157" s="18" t="n"/>
      <c r="M157" s="18" t="n"/>
    </row>
    <row r="158">
      <c r="L158" s="18" t="n"/>
      <c r="M158" s="18" t="n"/>
    </row>
    <row r="159">
      <c r="L159" s="18" t="n"/>
      <c r="M159" s="18" t="n"/>
    </row>
    <row r="160">
      <c r="L160" s="18" t="n"/>
      <c r="M160" s="18" t="n"/>
    </row>
    <row r="161">
      <c r="L161" s="18" t="n"/>
      <c r="M161" s="18" t="n"/>
    </row>
    <row r="162">
      <c r="L162" s="18" t="n"/>
      <c r="M162" s="18" t="n"/>
    </row>
    <row r="163">
      <c r="L163" s="18" t="n"/>
      <c r="M163" s="18" t="n"/>
    </row>
    <row r="164">
      <c r="L164" s="18" t="n"/>
      <c r="M164" s="18" t="n"/>
    </row>
    <row r="165">
      <c r="L165" s="18" t="n"/>
      <c r="M165" s="18" t="n"/>
    </row>
    <row r="166">
      <c r="L166" s="18" t="n"/>
      <c r="M166" s="18" t="n"/>
    </row>
    <row r="167">
      <c r="L167" s="18" t="n"/>
      <c r="M167" s="18" t="n"/>
    </row>
    <row r="168">
      <c r="L168" s="18" t="n"/>
      <c r="M168" s="18" t="n"/>
    </row>
    <row r="169">
      <c r="L169" s="18" t="n"/>
      <c r="M169" s="18" t="n"/>
    </row>
    <row r="170">
      <c r="L170" s="18" t="n"/>
      <c r="M170" s="18" t="n"/>
    </row>
    <row r="171">
      <c r="L171" s="18" t="n"/>
      <c r="M171" s="18" t="n"/>
    </row>
    <row r="172">
      <c r="L172" s="18" t="n"/>
      <c r="M172" s="18" t="n"/>
    </row>
    <row r="173">
      <c r="L173" s="18" t="n"/>
      <c r="M173" s="18" t="n"/>
    </row>
    <row r="174">
      <c r="L174" s="18" t="n"/>
      <c r="M174" s="18" t="n"/>
    </row>
    <row r="175">
      <c r="L175" s="18" t="n"/>
      <c r="M175" s="18" t="n"/>
    </row>
    <row r="176">
      <c r="L176" s="18" t="n"/>
      <c r="M176" s="18" t="n"/>
    </row>
    <row r="177">
      <c r="L177" s="18" t="n"/>
      <c r="M177" s="18" t="n"/>
    </row>
    <row r="178">
      <c r="L178" s="18" t="n"/>
      <c r="M178" s="18" t="n"/>
    </row>
    <row r="179">
      <c r="L179" s="18" t="n"/>
      <c r="M179" s="18" t="n"/>
    </row>
    <row r="180">
      <c r="L180" s="18" t="n"/>
      <c r="M180" s="18" t="n"/>
    </row>
    <row r="181">
      <c r="L181" s="18" t="n"/>
      <c r="M181" s="18" t="n"/>
    </row>
    <row r="182">
      <c r="L182" s="18" t="n"/>
      <c r="M182" s="18" t="n"/>
    </row>
    <row r="183">
      <c r="L183" s="18" t="n"/>
      <c r="M183" s="18" t="n"/>
    </row>
    <row r="184">
      <c r="L184" s="18" t="n"/>
      <c r="M184" s="18" t="n"/>
    </row>
    <row r="185">
      <c r="L185" s="18" t="n"/>
      <c r="M185" s="18" t="n"/>
    </row>
    <row r="186">
      <c r="L186" s="18" t="n"/>
      <c r="M186" s="18" t="n"/>
    </row>
    <row r="187">
      <c r="L187" s="18" t="n"/>
      <c r="M187" s="18" t="n"/>
    </row>
    <row r="188">
      <c r="L188" s="18" t="n"/>
      <c r="M188" s="18" t="n"/>
    </row>
    <row r="189">
      <c r="L189" s="18" t="n"/>
      <c r="M189" s="18" t="n"/>
    </row>
    <row r="190">
      <c r="L190" s="18" t="n"/>
      <c r="M190" s="18" t="n"/>
    </row>
    <row r="191">
      <c r="L191" s="18" t="n"/>
      <c r="M191" s="18" t="n"/>
    </row>
    <row r="192">
      <c r="L192" s="18" t="n"/>
      <c r="M192" s="18" t="n"/>
    </row>
    <row r="193">
      <c r="L193" s="18" t="n"/>
      <c r="M193" s="18" t="n"/>
    </row>
    <row r="194">
      <c r="L194" s="18" t="n"/>
      <c r="M194" s="18" t="n"/>
    </row>
    <row r="195">
      <c r="L195" s="18" t="n"/>
      <c r="M195" s="18" t="n"/>
    </row>
    <row r="196">
      <c r="L196" s="18" t="n"/>
      <c r="M196" s="18" t="n"/>
    </row>
    <row r="197">
      <c r="L197" s="18" t="n"/>
      <c r="M197" s="18" t="n"/>
    </row>
    <row r="198">
      <c r="L198" s="18" t="n"/>
      <c r="M198" s="18" t="n"/>
    </row>
    <row r="199">
      <c r="L199" s="18" t="n"/>
      <c r="M199" s="18" t="n"/>
    </row>
    <row r="200">
      <c r="L200" s="18" t="n"/>
      <c r="M200" s="18" t="n"/>
    </row>
    <row r="201">
      <c r="L201" s="18" t="n"/>
      <c r="M201" s="18" t="n"/>
    </row>
    <row r="202">
      <c r="L202" s="18" t="n"/>
      <c r="M202" s="18" t="n"/>
    </row>
    <row r="203">
      <c r="L203" s="18" t="n"/>
      <c r="M203" s="18" t="n"/>
    </row>
    <row r="204">
      <c r="L204" s="18" t="n"/>
      <c r="M204" s="18" t="n"/>
    </row>
    <row r="205">
      <c r="L205" s="18" t="n"/>
      <c r="M205" s="18" t="n"/>
    </row>
    <row r="206">
      <c r="L206" s="18" t="n"/>
      <c r="M206" s="18" t="n"/>
    </row>
    <row r="207">
      <c r="L207" s="18" t="n"/>
      <c r="M207" s="18" t="n"/>
    </row>
    <row r="208">
      <c r="L208" s="18" t="n"/>
      <c r="M208" s="18" t="n"/>
    </row>
    <row r="209">
      <c r="L209" s="18" t="n"/>
      <c r="M209" s="18" t="n"/>
    </row>
    <row r="210">
      <c r="L210" s="18" t="n"/>
      <c r="M210" s="18" t="n"/>
    </row>
    <row r="211">
      <c r="L211" s="18" t="n"/>
      <c r="M211" s="18" t="n"/>
    </row>
    <row r="212">
      <c r="L212" s="18" t="n"/>
      <c r="M212" s="18" t="n"/>
    </row>
    <row r="213">
      <c r="L213" s="18" t="n"/>
      <c r="M213" s="18" t="n"/>
    </row>
    <row r="214">
      <c r="L214" s="18" t="n"/>
      <c r="M214" s="18" t="n"/>
    </row>
    <row r="215">
      <c r="L215" s="18" t="n"/>
      <c r="M215" s="18" t="n"/>
    </row>
    <row r="216">
      <c r="L216" s="18" t="n"/>
      <c r="M216" s="18" t="n"/>
    </row>
    <row r="217">
      <c r="L217" s="18" t="n"/>
      <c r="M217" s="18" t="n"/>
    </row>
    <row r="218">
      <c r="L218" s="18" t="n"/>
      <c r="M218" s="18" t="n"/>
    </row>
    <row r="219">
      <c r="L219" s="18" t="n"/>
      <c r="M219" s="18" t="n"/>
    </row>
    <row r="220">
      <c r="L220" s="18" t="n"/>
      <c r="M220" s="18" t="n"/>
    </row>
    <row r="221">
      <c r="L221" s="18" t="n"/>
      <c r="M221" s="18" t="n"/>
    </row>
    <row r="222">
      <c r="L222" s="18" t="n"/>
      <c r="M222" s="18" t="n"/>
    </row>
    <row r="223">
      <c r="L223" s="18" t="n"/>
      <c r="M223" s="18" t="n"/>
    </row>
    <row r="224">
      <c r="L224" s="18" t="n"/>
      <c r="M224" s="18" t="n"/>
    </row>
    <row r="225">
      <c r="L225" s="18" t="n"/>
      <c r="M225" s="18" t="n"/>
    </row>
    <row r="226">
      <c r="L226" s="18" t="n"/>
      <c r="M226" s="18" t="n"/>
    </row>
    <row r="227">
      <c r="L227" s="18" t="n"/>
      <c r="M227" s="18" t="n"/>
    </row>
    <row r="228">
      <c r="L228" s="18" t="n"/>
      <c r="M228" s="18" t="n"/>
    </row>
    <row r="229">
      <c r="L229" s="18" t="n"/>
      <c r="M229" s="18" t="n"/>
    </row>
    <row r="230">
      <c r="L230" s="18" t="n"/>
      <c r="M230" s="18" t="n"/>
    </row>
    <row r="231">
      <c r="L231" s="18" t="n"/>
      <c r="M231" s="18" t="n"/>
    </row>
    <row r="232">
      <c r="L232" s="18" t="n"/>
      <c r="M232" s="18" t="n"/>
    </row>
    <row r="233">
      <c r="L233" s="18" t="n"/>
      <c r="M233" s="18" t="n"/>
    </row>
    <row r="234">
      <c r="L234" s="18" t="n"/>
      <c r="M234" s="18" t="n"/>
    </row>
    <row r="235">
      <c r="L235" s="18" t="n"/>
      <c r="M235" s="18" t="n"/>
    </row>
    <row r="236">
      <c r="L236" s="18" t="n"/>
      <c r="M236" s="18" t="n"/>
    </row>
    <row r="237">
      <c r="L237" s="18" t="n"/>
      <c r="M237" s="18" t="n"/>
    </row>
    <row r="238">
      <c r="L238" s="18" t="n"/>
      <c r="M238" s="18" t="n"/>
    </row>
    <row r="239">
      <c r="L239" s="18" t="n"/>
      <c r="M239" s="18" t="n"/>
    </row>
    <row r="240">
      <c r="L240" s="18" t="n"/>
      <c r="M240" s="18" t="n"/>
    </row>
    <row r="241">
      <c r="L241" s="18" t="n"/>
      <c r="M241" s="18" t="n"/>
    </row>
    <row r="242">
      <c r="L242" s="18" t="n"/>
      <c r="M242" s="18" t="n"/>
    </row>
    <row r="243">
      <c r="L243" s="18" t="n"/>
      <c r="M243" s="18" t="n"/>
    </row>
    <row r="244">
      <c r="L244" s="18" t="n"/>
      <c r="M244" s="18" t="n"/>
    </row>
    <row r="245">
      <c r="L245" s="18" t="n"/>
      <c r="M245" s="18" t="n"/>
    </row>
    <row r="246">
      <c r="L246" s="18" t="n"/>
      <c r="M246" s="18" t="n"/>
    </row>
    <row r="247">
      <c r="L247" s="18" t="n"/>
      <c r="M247" s="18" t="n"/>
    </row>
    <row r="248">
      <c r="L248" s="18" t="n"/>
      <c r="M248" s="18" t="n"/>
    </row>
    <row r="249">
      <c r="L249" s="18" t="n"/>
      <c r="M249" s="18" t="n"/>
    </row>
    <row r="250">
      <c r="L250" s="18" t="n"/>
      <c r="M250" s="18" t="n"/>
    </row>
    <row r="251">
      <c r="L251" s="18" t="n"/>
      <c r="M251" s="18" t="n"/>
    </row>
    <row r="252">
      <c r="L252" s="18" t="n"/>
      <c r="M252" s="18" t="n"/>
    </row>
    <row r="253">
      <c r="L253" s="18" t="n"/>
      <c r="M253" s="18" t="n"/>
    </row>
    <row r="254">
      <c r="L254" s="18" t="n"/>
      <c r="M254" s="18" t="n"/>
    </row>
    <row r="255">
      <c r="L255" s="18" t="n"/>
      <c r="M255" s="18" t="n"/>
    </row>
    <row r="256">
      <c r="L256" s="18" t="n"/>
      <c r="M256" s="18" t="n"/>
    </row>
    <row r="257">
      <c r="L257" s="18" t="n"/>
      <c r="M257" s="18" t="n"/>
    </row>
    <row r="258">
      <c r="L258" s="18" t="n"/>
      <c r="M258" s="18" t="n"/>
    </row>
    <row r="259">
      <c r="L259" s="18" t="n"/>
      <c r="M259" s="18" t="n"/>
    </row>
    <row r="260">
      <c r="L260" s="18" t="n"/>
      <c r="M260" s="18" t="n"/>
    </row>
    <row r="261">
      <c r="L261" s="18" t="n"/>
      <c r="M261" s="18" t="n"/>
    </row>
    <row r="262">
      <c r="L262" s="18" t="n"/>
      <c r="M262" s="18" t="n"/>
    </row>
    <row r="263">
      <c r="L263" s="18" t="n"/>
      <c r="M263" s="18" t="n"/>
    </row>
    <row r="264">
      <c r="L264" s="18" t="n"/>
      <c r="M264" s="18" t="n"/>
    </row>
    <row r="265">
      <c r="L265" s="18" t="n"/>
      <c r="M265" s="18" t="n"/>
    </row>
    <row r="266">
      <c r="L266" s="18" t="n"/>
      <c r="M266" s="18" t="n"/>
    </row>
    <row r="267">
      <c r="L267" s="18" t="n"/>
      <c r="M267" s="18" t="n"/>
    </row>
    <row r="268">
      <c r="L268" s="18" t="n"/>
      <c r="M268" s="18" t="n"/>
    </row>
    <row r="269">
      <c r="L269" s="18" t="n"/>
      <c r="M269" s="18" t="n"/>
    </row>
    <row r="270">
      <c r="L270" s="18" t="n"/>
      <c r="M270" s="18" t="n"/>
    </row>
    <row r="271">
      <c r="L271" s="18" t="n"/>
      <c r="M271" s="18" t="n"/>
    </row>
    <row r="272">
      <c r="L272" s="18" t="n"/>
      <c r="M272" s="18" t="n"/>
    </row>
    <row r="273">
      <c r="L273" s="18" t="n"/>
      <c r="M273" s="18" t="n"/>
    </row>
    <row r="274">
      <c r="L274" s="18" t="n"/>
      <c r="M274" s="18" t="n"/>
    </row>
    <row r="275">
      <c r="L275" s="18" t="n"/>
      <c r="M275" s="18" t="n"/>
    </row>
    <row r="276">
      <c r="L276" s="18" t="n"/>
      <c r="M276" s="18" t="n"/>
    </row>
    <row r="277">
      <c r="L277" s="18" t="n"/>
      <c r="M277" s="18" t="n"/>
    </row>
    <row r="278">
      <c r="L278" s="18" t="n"/>
      <c r="M278" s="18" t="n"/>
    </row>
    <row r="279">
      <c r="L279" s="18" t="n"/>
      <c r="M279" s="18" t="n"/>
    </row>
    <row r="280">
      <c r="L280" s="18" t="n"/>
      <c r="M280" s="18" t="n"/>
    </row>
    <row r="281">
      <c r="L281" s="18" t="n"/>
      <c r="M281" s="18" t="n"/>
    </row>
    <row r="282">
      <c r="L282" s="18" t="n"/>
      <c r="M282" s="18" t="n"/>
    </row>
    <row r="283">
      <c r="L283" s="18" t="n"/>
      <c r="M283" s="18" t="n"/>
    </row>
    <row r="284">
      <c r="L284" s="18" t="n"/>
      <c r="M284" s="18" t="n"/>
    </row>
    <row r="285">
      <c r="L285" s="18" t="n"/>
      <c r="M285" s="18" t="n"/>
    </row>
    <row r="286">
      <c r="L286" s="18" t="n"/>
      <c r="M286" s="18" t="n"/>
    </row>
    <row r="287">
      <c r="L287" s="18" t="n"/>
      <c r="M287" s="18" t="n"/>
    </row>
    <row r="288">
      <c r="L288" s="18" t="n"/>
      <c r="M288" s="18" t="n"/>
    </row>
    <row r="289">
      <c r="L289" s="18" t="n"/>
      <c r="M289" s="18" t="n"/>
    </row>
    <row r="290">
      <c r="L290" s="18" t="n"/>
      <c r="M290" s="18" t="n"/>
    </row>
    <row r="291">
      <c r="L291" s="18" t="n"/>
      <c r="M291" s="18" t="n"/>
    </row>
    <row r="292">
      <c r="L292" s="18" t="n"/>
      <c r="M292" s="18" t="n"/>
    </row>
    <row r="293">
      <c r="L293" s="18" t="n"/>
      <c r="M293" s="18" t="n"/>
    </row>
    <row r="294">
      <c r="L294" s="18" t="n"/>
      <c r="M294" s="18" t="n"/>
    </row>
    <row r="295">
      <c r="L295" s="18" t="n"/>
      <c r="M295" s="18" t="n"/>
    </row>
    <row r="296">
      <c r="L296" s="18" t="n"/>
      <c r="M296" s="18" t="n"/>
    </row>
    <row r="297">
      <c r="L297" s="18" t="n"/>
      <c r="M297" s="18" t="n"/>
    </row>
    <row r="298">
      <c r="L298" s="18" t="n"/>
      <c r="M298" s="18" t="n"/>
    </row>
    <row r="299">
      <c r="L299" s="18" t="n"/>
      <c r="M299" s="18" t="n"/>
    </row>
    <row r="300">
      <c r="L300" s="18" t="n"/>
      <c r="M300" s="18" t="n"/>
    </row>
    <row r="301">
      <c r="L301" s="18" t="n"/>
      <c r="M301" s="18" t="n"/>
    </row>
    <row r="302">
      <c r="L302" s="18" t="n"/>
      <c r="M302" s="18" t="n"/>
    </row>
    <row r="303">
      <c r="L303" s="18" t="n"/>
      <c r="M303" s="18" t="n"/>
    </row>
    <row r="304">
      <c r="L304" s="18" t="n"/>
      <c r="M304" s="18" t="n"/>
    </row>
    <row r="305">
      <c r="L305" s="18" t="n"/>
      <c r="M305" s="18" t="n"/>
    </row>
    <row r="306">
      <c r="L306" s="18" t="n"/>
      <c r="M306" s="18" t="n"/>
    </row>
    <row r="307">
      <c r="L307" s="18" t="n"/>
      <c r="M307" s="18" t="n"/>
    </row>
    <row r="308">
      <c r="L308" s="18" t="n"/>
      <c r="M308" s="18" t="n"/>
    </row>
    <row r="309">
      <c r="L309" s="18" t="n"/>
      <c r="M309" s="18" t="n"/>
    </row>
    <row r="310">
      <c r="L310" s="18" t="n"/>
      <c r="M310" s="18" t="n"/>
    </row>
    <row r="311">
      <c r="L311" s="18" t="n"/>
      <c r="M311" s="18" t="n"/>
    </row>
    <row r="312">
      <c r="L312" s="18" t="n"/>
      <c r="M312" s="18" t="n"/>
    </row>
    <row r="313">
      <c r="L313" s="18" t="n"/>
      <c r="M313" s="18" t="n"/>
    </row>
    <row r="314">
      <c r="L314" s="18" t="n"/>
      <c r="M314" s="18" t="n"/>
    </row>
    <row r="315">
      <c r="L315" s="18" t="n"/>
      <c r="M315" s="18" t="n"/>
    </row>
    <row r="316">
      <c r="L316" s="18" t="n"/>
      <c r="M316" s="18" t="n"/>
    </row>
    <row r="317">
      <c r="L317" s="18" t="n"/>
      <c r="M317" s="18" t="n"/>
    </row>
    <row r="318">
      <c r="L318" s="18" t="n"/>
      <c r="M318" s="18" t="n"/>
    </row>
    <row r="319">
      <c r="L319" s="18" t="n"/>
      <c r="M319" s="18" t="n"/>
    </row>
    <row r="320">
      <c r="L320" s="18" t="n"/>
      <c r="M320" s="18" t="n"/>
    </row>
    <row r="321">
      <c r="L321" s="18" t="n"/>
      <c r="M321" s="18" t="n"/>
    </row>
    <row r="322">
      <c r="L322" s="18" t="n"/>
      <c r="M322" s="18" t="n"/>
    </row>
    <row r="323">
      <c r="L323" s="18" t="n"/>
      <c r="M323" s="18" t="n"/>
    </row>
    <row r="324">
      <c r="L324" s="18" t="n"/>
      <c r="M324" s="18" t="n"/>
    </row>
    <row r="325">
      <c r="L325" s="18" t="n"/>
      <c r="M325" s="18" t="n"/>
    </row>
    <row r="326">
      <c r="L326" s="18" t="n"/>
      <c r="M326" s="18" t="n"/>
    </row>
    <row r="327">
      <c r="L327" s="18" t="n"/>
      <c r="M327" s="18" t="n"/>
    </row>
    <row r="328">
      <c r="L328" s="18" t="n"/>
      <c r="M328" s="18" t="n"/>
    </row>
    <row r="329">
      <c r="L329" s="18" t="n"/>
      <c r="M329" s="18" t="n"/>
    </row>
    <row r="330">
      <c r="L330" s="18" t="n"/>
      <c r="M330" s="18" t="n"/>
    </row>
    <row r="331">
      <c r="L331" s="18" t="n"/>
      <c r="M331" s="18" t="n"/>
    </row>
    <row r="332">
      <c r="L332" s="18" t="n"/>
      <c r="M332" s="18" t="n"/>
    </row>
    <row r="333">
      <c r="L333" s="18" t="n"/>
      <c r="M333" s="18" t="n"/>
    </row>
    <row r="334">
      <c r="L334" s="18" t="n"/>
      <c r="M334" s="18" t="n"/>
    </row>
    <row r="335">
      <c r="L335" s="18" t="n"/>
      <c r="M335" s="18" t="n"/>
    </row>
    <row r="336">
      <c r="L336" s="18" t="n"/>
      <c r="M336" s="18" t="n"/>
    </row>
    <row r="337">
      <c r="L337" s="18" t="n"/>
      <c r="M337" s="18" t="n"/>
    </row>
    <row r="338">
      <c r="L338" s="18" t="n"/>
      <c r="M338" s="18" t="n"/>
    </row>
    <row r="339">
      <c r="L339" s="18" t="n"/>
      <c r="M339" s="18" t="n"/>
    </row>
    <row r="340">
      <c r="L340" s="18" t="n"/>
      <c r="M340" s="18" t="n"/>
    </row>
    <row r="341">
      <c r="L341" s="18" t="n"/>
      <c r="M341" s="18" t="n"/>
    </row>
    <row r="342">
      <c r="L342" s="18" t="n"/>
      <c r="M342" s="18" t="n"/>
    </row>
    <row r="343">
      <c r="L343" s="18" t="n"/>
      <c r="M343" s="18" t="n"/>
    </row>
    <row r="344">
      <c r="L344" s="18" t="n"/>
      <c r="M344" s="18" t="n"/>
    </row>
    <row r="345">
      <c r="L345" s="18" t="n"/>
      <c r="M345" s="18" t="n"/>
    </row>
    <row r="346">
      <c r="L346" s="18" t="n"/>
      <c r="M346" s="18" t="n"/>
    </row>
    <row r="347">
      <c r="L347" s="18" t="n"/>
      <c r="M347" s="18" t="n"/>
    </row>
    <row r="348">
      <c r="L348" s="18" t="n"/>
      <c r="M348" s="18" t="n"/>
    </row>
    <row r="349">
      <c r="L349" s="18" t="n"/>
      <c r="M349" s="18" t="n"/>
    </row>
    <row r="350">
      <c r="L350" s="18" t="n"/>
      <c r="M350" s="18" t="n"/>
    </row>
    <row r="351">
      <c r="L351" s="18" t="n"/>
      <c r="M351" s="18" t="n"/>
    </row>
    <row r="352">
      <c r="L352" s="18" t="n"/>
      <c r="M352" s="18" t="n"/>
    </row>
    <row r="353">
      <c r="L353" s="18" t="n"/>
      <c r="M353" s="18" t="n"/>
    </row>
    <row r="354">
      <c r="L354" s="18" t="n"/>
      <c r="M354" s="18" t="n"/>
    </row>
    <row r="355">
      <c r="L355" s="18" t="n"/>
      <c r="M355" s="18" t="n"/>
    </row>
    <row r="356">
      <c r="L356" s="18" t="n"/>
      <c r="M356" s="18" t="n"/>
    </row>
    <row r="357">
      <c r="L357" s="18" t="n"/>
      <c r="M357" s="18" t="n"/>
    </row>
    <row r="358">
      <c r="L358" s="18" t="n"/>
      <c r="M358" s="18" t="n"/>
    </row>
    <row r="359">
      <c r="L359" s="18" t="n"/>
      <c r="M359" s="18" t="n"/>
    </row>
    <row r="360">
      <c r="L360" s="18" t="n"/>
      <c r="M360" s="18" t="n"/>
    </row>
    <row r="361">
      <c r="L361" s="18" t="n"/>
      <c r="M361" s="18" t="n"/>
    </row>
    <row r="362">
      <c r="L362" s="18" t="n"/>
      <c r="M362" s="18" t="n"/>
    </row>
    <row r="363">
      <c r="L363" s="18" t="n"/>
      <c r="M363" s="18" t="n"/>
    </row>
    <row r="364">
      <c r="L364" s="18" t="n"/>
      <c r="M364" s="18" t="n"/>
    </row>
    <row r="365">
      <c r="L365" s="18" t="n"/>
      <c r="M365" s="18" t="n"/>
    </row>
    <row r="366">
      <c r="L366" s="18" t="n"/>
      <c r="M366" s="18" t="n"/>
    </row>
    <row r="367">
      <c r="L367" s="18" t="n"/>
      <c r="M367" s="18" t="n"/>
    </row>
    <row r="368">
      <c r="L368" s="18" t="n"/>
      <c r="M368" s="18" t="n"/>
    </row>
    <row r="369">
      <c r="L369" s="18" t="n"/>
      <c r="M369" s="18" t="n"/>
    </row>
    <row r="370">
      <c r="L370" s="18" t="n"/>
      <c r="M370" s="18" t="n"/>
    </row>
    <row r="371">
      <c r="L371" s="18" t="n"/>
      <c r="M371" s="18" t="n"/>
    </row>
    <row r="372">
      <c r="L372" s="18" t="n"/>
      <c r="M372" s="18" t="n"/>
    </row>
    <row r="373">
      <c r="L373" s="18" t="n"/>
      <c r="M373" s="18" t="n"/>
    </row>
    <row r="374">
      <c r="L374" s="18" t="n"/>
      <c r="M374" s="18" t="n"/>
    </row>
    <row r="375">
      <c r="L375" s="18" t="n"/>
      <c r="M375" s="18" t="n"/>
    </row>
    <row r="376">
      <c r="L376" s="18" t="n"/>
      <c r="M376" s="18" t="n"/>
    </row>
    <row r="377">
      <c r="L377" s="18" t="n"/>
      <c r="M377" s="18" t="n"/>
    </row>
    <row r="378">
      <c r="L378" s="18" t="n"/>
      <c r="M378" s="18" t="n"/>
    </row>
    <row r="379">
      <c r="L379" s="18" t="n"/>
      <c r="M379" s="18" t="n"/>
    </row>
    <row r="380">
      <c r="L380" s="18" t="n"/>
      <c r="M380" s="18" t="n"/>
    </row>
    <row r="381">
      <c r="L381" s="18" t="n"/>
      <c r="M381" s="18" t="n"/>
    </row>
    <row r="382">
      <c r="L382" s="18" t="n"/>
      <c r="M382" s="18" t="n"/>
    </row>
    <row r="383">
      <c r="L383" s="18" t="n"/>
      <c r="M383" s="18" t="n"/>
    </row>
    <row r="384">
      <c r="L384" s="18" t="n"/>
      <c r="M384" s="18" t="n"/>
    </row>
    <row r="385">
      <c r="L385" s="18" t="n"/>
      <c r="M385" s="18" t="n"/>
    </row>
    <row r="386">
      <c r="L386" s="18" t="n"/>
      <c r="M386" s="18" t="n"/>
    </row>
    <row r="387">
      <c r="L387" s="18" t="n"/>
      <c r="M387" s="18" t="n"/>
    </row>
    <row r="388">
      <c r="L388" s="18" t="n"/>
      <c r="M388" s="18" t="n"/>
    </row>
    <row r="389">
      <c r="L389" s="18" t="n"/>
      <c r="M389" s="18" t="n"/>
    </row>
    <row r="390">
      <c r="L390" s="18" t="n"/>
      <c r="M390" s="18" t="n"/>
    </row>
    <row r="391">
      <c r="L391" s="18" t="n"/>
      <c r="M391" s="18" t="n"/>
    </row>
    <row r="392">
      <c r="L392" s="18" t="n"/>
      <c r="M392" s="18" t="n"/>
    </row>
    <row r="393">
      <c r="L393" s="18" t="n"/>
      <c r="M393" s="18" t="n"/>
    </row>
    <row r="394">
      <c r="L394" s="18" t="n"/>
      <c r="M394" s="18" t="n"/>
    </row>
    <row r="395">
      <c r="L395" s="18" t="n"/>
      <c r="M395" s="18" t="n"/>
    </row>
    <row r="396">
      <c r="L396" s="18" t="n"/>
      <c r="M396" s="18" t="n"/>
    </row>
    <row r="397">
      <c r="L397" s="18" t="n"/>
      <c r="M397" s="18" t="n"/>
    </row>
    <row r="398">
      <c r="L398" s="18" t="n"/>
      <c r="M398" s="18" t="n"/>
    </row>
    <row r="399">
      <c r="L399" s="18" t="n"/>
      <c r="M399" s="18" t="n"/>
    </row>
    <row r="400">
      <c r="L400" s="18" t="n"/>
      <c r="M400" s="18" t="n"/>
    </row>
    <row r="401">
      <c r="L401" s="18" t="n"/>
      <c r="M401" s="18" t="n"/>
    </row>
    <row r="402">
      <c r="L402" s="18" t="n"/>
      <c r="M402" s="18" t="n"/>
    </row>
    <row r="403">
      <c r="L403" s="18" t="n"/>
      <c r="M403" s="18" t="n"/>
    </row>
    <row r="404">
      <c r="L404" s="18" t="n"/>
      <c r="M404" s="18" t="n"/>
    </row>
    <row r="405">
      <c r="L405" s="18" t="n"/>
      <c r="M405" s="18" t="n"/>
    </row>
    <row r="406">
      <c r="L406" s="18" t="n"/>
      <c r="M406" s="18" t="n"/>
    </row>
    <row r="407">
      <c r="L407" s="18" t="n"/>
      <c r="M407" s="18" t="n"/>
    </row>
    <row r="408">
      <c r="L408" s="18" t="n"/>
      <c r="M408" s="18" t="n"/>
    </row>
    <row r="409">
      <c r="L409" s="18" t="n"/>
      <c r="M409" s="18" t="n"/>
    </row>
    <row r="410">
      <c r="L410" s="18" t="n"/>
      <c r="M410" s="18" t="n"/>
    </row>
    <row r="411">
      <c r="L411" s="18" t="n"/>
      <c r="M411" s="18" t="n"/>
    </row>
    <row r="412">
      <c r="L412" s="18" t="n"/>
      <c r="M412" s="18" t="n"/>
    </row>
    <row r="413">
      <c r="L413" s="18" t="n"/>
      <c r="M413" s="18" t="n"/>
    </row>
    <row r="414">
      <c r="L414" s="18" t="n"/>
      <c r="M414" s="18" t="n"/>
    </row>
    <row r="415">
      <c r="L415" s="18" t="n"/>
      <c r="M415" s="18" t="n"/>
    </row>
    <row r="416">
      <c r="L416" s="18" t="n"/>
      <c r="M416" s="18" t="n"/>
    </row>
    <row r="417">
      <c r="L417" s="18" t="n"/>
      <c r="M417" s="18" t="n"/>
    </row>
    <row r="418">
      <c r="L418" s="18" t="n"/>
      <c r="M418" s="18" t="n"/>
    </row>
    <row r="419">
      <c r="L419" s="18" t="n"/>
      <c r="M419" s="18" t="n"/>
    </row>
    <row r="420">
      <c r="L420" s="18" t="n"/>
      <c r="M420" s="18" t="n"/>
    </row>
    <row r="421">
      <c r="L421" s="18" t="n"/>
      <c r="M421" s="18" t="n"/>
    </row>
    <row r="422">
      <c r="L422" s="18" t="n"/>
      <c r="M422" s="18" t="n"/>
    </row>
    <row r="423">
      <c r="L423" s="18" t="n"/>
      <c r="M423" s="18" t="n"/>
    </row>
    <row r="424">
      <c r="L424" s="18" t="n"/>
      <c r="M424" s="18" t="n"/>
    </row>
    <row r="425">
      <c r="L425" s="18" t="n"/>
      <c r="M425" s="18" t="n"/>
    </row>
    <row r="426">
      <c r="L426" s="18" t="n"/>
      <c r="M426" s="18" t="n"/>
    </row>
    <row r="427">
      <c r="L427" s="18" t="n"/>
      <c r="M427" s="18" t="n"/>
    </row>
    <row r="428">
      <c r="L428" s="18" t="n"/>
      <c r="M428" s="18" t="n"/>
    </row>
    <row r="429">
      <c r="L429" s="18" t="n"/>
      <c r="M429" s="18" t="n"/>
    </row>
    <row r="430">
      <c r="L430" s="18" t="n"/>
      <c r="M430" s="18" t="n"/>
    </row>
    <row r="431">
      <c r="L431" s="18" t="n"/>
      <c r="M431" s="18" t="n"/>
    </row>
    <row r="432">
      <c r="L432" s="18" t="n"/>
      <c r="M432" s="18" t="n"/>
    </row>
    <row r="433">
      <c r="L433" s="18" t="n"/>
      <c r="M433" s="18" t="n"/>
    </row>
    <row r="434">
      <c r="L434" s="18" t="n"/>
      <c r="M434" s="18" t="n"/>
    </row>
    <row r="435">
      <c r="L435" s="18" t="n"/>
      <c r="M435" s="18" t="n"/>
    </row>
    <row r="436">
      <c r="L436" s="18" t="n"/>
      <c r="M436" s="18" t="n"/>
    </row>
    <row r="437">
      <c r="L437" s="18" t="n"/>
      <c r="M437" s="18" t="n"/>
    </row>
    <row r="438">
      <c r="L438" s="18" t="n"/>
      <c r="M438" s="18" t="n"/>
    </row>
    <row r="439">
      <c r="L439" s="18" t="n"/>
      <c r="M439" s="18" t="n"/>
    </row>
    <row r="440">
      <c r="L440" s="18" t="n"/>
      <c r="M440" s="18" t="n"/>
    </row>
    <row r="441">
      <c r="L441" s="18" t="n"/>
      <c r="M441" s="18" t="n"/>
    </row>
    <row r="442">
      <c r="L442" s="18" t="n"/>
      <c r="M442" s="18" t="n"/>
    </row>
    <row r="443">
      <c r="L443" s="18" t="n"/>
      <c r="M443" s="18" t="n"/>
    </row>
    <row r="444">
      <c r="L444" s="18" t="n"/>
      <c r="M444" s="18" t="n"/>
    </row>
    <row r="445">
      <c r="L445" s="18" t="n"/>
      <c r="M445" s="18" t="n"/>
    </row>
    <row r="446">
      <c r="L446" s="18" t="n"/>
      <c r="M446" s="18" t="n"/>
    </row>
    <row r="447">
      <c r="L447" s="18" t="n"/>
      <c r="M447" s="18" t="n"/>
    </row>
    <row r="448">
      <c r="L448" s="18" t="n"/>
      <c r="M448" s="18" t="n"/>
    </row>
    <row r="449">
      <c r="L449" s="18" t="n"/>
      <c r="M449" s="18" t="n"/>
    </row>
    <row r="450">
      <c r="L450" s="18" t="n"/>
      <c r="M450" s="18" t="n"/>
    </row>
    <row r="451">
      <c r="L451" s="18" t="n"/>
      <c r="M451" s="18" t="n"/>
    </row>
    <row r="452">
      <c r="L452" s="18" t="n"/>
      <c r="M452" s="18" t="n"/>
    </row>
    <row r="453">
      <c r="L453" s="18" t="n"/>
      <c r="M453" s="18" t="n"/>
    </row>
    <row r="454">
      <c r="L454" s="18" t="n"/>
      <c r="M454" s="18" t="n"/>
    </row>
    <row r="455">
      <c r="L455" s="18" t="n"/>
      <c r="M455" s="18" t="n"/>
    </row>
    <row r="456">
      <c r="L456" s="18" t="n"/>
      <c r="M456" s="18" t="n"/>
    </row>
    <row r="457">
      <c r="L457" s="18" t="n"/>
      <c r="M457" s="18" t="n"/>
    </row>
    <row r="458">
      <c r="L458" s="18" t="n"/>
      <c r="M458" s="18" t="n"/>
    </row>
    <row r="459">
      <c r="L459" s="18" t="n"/>
      <c r="M459" s="18" t="n"/>
    </row>
    <row r="460">
      <c r="L460" s="18" t="n"/>
      <c r="M460" s="18" t="n"/>
    </row>
    <row r="461">
      <c r="L461" s="18" t="n"/>
      <c r="M461" s="18" t="n"/>
    </row>
    <row r="462">
      <c r="L462" s="18" t="n"/>
      <c r="M462" s="18" t="n"/>
    </row>
    <row r="463">
      <c r="L463" s="18" t="n"/>
      <c r="M463" s="18" t="n"/>
    </row>
    <row r="464">
      <c r="L464" s="18" t="n"/>
      <c r="M464" s="18" t="n"/>
    </row>
    <row r="465">
      <c r="L465" s="18" t="n"/>
      <c r="M465" s="18" t="n"/>
    </row>
    <row r="466">
      <c r="L466" s="18" t="n"/>
      <c r="M466" s="18" t="n"/>
    </row>
    <row r="467">
      <c r="L467" s="18" t="n"/>
      <c r="M467" s="18" t="n"/>
    </row>
    <row r="468">
      <c r="L468" s="18" t="n"/>
      <c r="M468" s="18" t="n"/>
    </row>
    <row r="469">
      <c r="L469" s="18" t="n"/>
      <c r="M469" s="18" t="n"/>
    </row>
    <row r="470">
      <c r="L470" s="18" t="n"/>
      <c r="M470" s="18" t="n"/>
    </row>
    <row r="471">
      <c r="L471" s="18" t="n"/>
      <c r="M471" s="18" t="n"/>
    </row>
    <row r="472">
      <c r="L472" s="18" t="n"/>
      <c r="M472" s="18" t="n"/>
    </row>
    <row r="473">
      <c r="L473" s="18" t="n"/>
      <c r="M473" s="18" t="n"/>
    </row>
    <row r="474">
      <c r="L474" s="18" t="n"/>
      <c r="M474" s="18" t="n"/>
    </row>
    <row r="475">
      <c r="L475" s="18" t="n"/>
      <c r="M475" s="18" t="n"/>
    </row>
    <row r="476">
      <c r="L476" s="18" t="n"/>
      <c r="M476" s="18" t="n"/>
    </row>
    <row r="477">
      <c r="L477" s="18" t="n"/>
      <c r="M477" s="18" t="n"/>
    </row>
    <row r="478">
      <c r="L478" s="18" t="n"/>
      <c r="M478" s="18" t="n"/>
    </row>
    <row r="479">
      <c r="L479" s="18" t="n"/>
      <c r="M479" s="18" t="n"/>
    </row>
    <row r="480">
      <c r="L480" s="18" t="n"/>
      <c r="M480" s="18" t="n"/>
    </row>
    <row r="481">
      <c r="L481" s="18" t="n"/>
      <c r="M481" s="18" t="n"/>
    </row>
    <row r="482">
      <c r="L482" s="18" t="n"/>
      <c r="M482" s="18" t="n"/>
    </row>
    <row r="483">
      <c r="L483" s="18" t="n"/>
      <c r="M483" s="18" t="n"/>
    </row>
    <row r="484">
      <c r="L484" s="18" t="n"/>
      <c r="M484" s="18" t="n"/>
    </row>
    <row r="485">
      <c r="L485" s="18" t="n"/>
      <c r="M485" s="18" t="n"/>
    </row>
    <row r="486">
      <c r="L486" s="18" t="n"/>
      <c r="M486" s="18" t="n"/>
    </row>
    <row r="487">
      <c r="L487" s="18" t="n"/>
      <c r="M487" s="18" t="n"/>
    </row>
    <row r="488">
      <c r="L488" s="18" t="n"/>
      <c r="M488" s="18" t="n"/>
    </row>
    <row r="489">
      <c r="L489" s="18" t="n"/>
      <c r="M489" s="18" t="n"/>
    </row>
    <row r="490">
      <c r="L490" s="18" t="n"/>
      <c r="M490" s="18" t="n"/>
    </row>
    <row r="491">
      <c r="L491" s="18" t="n"/>
      <c r="M491" s="18" t="n"/>
    </row>
    <row r="492">
      <c r="L492" s="18" t="n"/>
      <c r="M492" s="18" t="n"/>
    </row>
    <row r="493">
      <c r="L493" s="18" t="n"/>
      <c r="M493" s="18" t="n"/>
    </row>
    <row r="494">
      <c r="L494" s="18" t="n"/>
      <c r="M494" s="18" t="n"/>
    </row>
    <row r="495">
      <c r="L495" s="18" t="n"/>
      <c r="M495" s="18" t="n"/>
    </row>
    <row r="496">
      <c r="L496" s="18" t="n"/>
      <c r="M496" s="18" t="n"/>
    </row>
    <row r="497">
      <c r="L497" s="18" t="n"/>
      <c r="M497" s="18" t="n"/>
    </row>
    <row r="498">
      <c r="L498" s="18" t="n"/>
      <c r="M498" s="18" t="n"/>
    </row>
    <row r="499">
      <c r="L499" s="18" t="n"/>
      <c r="M499" s="18" t="n"/>
    </row>
    <row r="500">
      <c r="L500" s="18" t="n"/>
      <c r="M500" s="18" t="n"/>
    </row>
  </sheetData>
  <autoFilter ref="A4:Q22"/>
  <dataValidations count="1">
    <dataValidation sqref="J6:J500" showDropDown="0" showInputMessage="0" showErrorMessage="1" allowBlank="1" errorTitle="Status" error="Use one of: planned, backlog, in-progress, review, done, dropped" type="list">
      <formula1>"planned,backlog,in-progress,review,done,dropped"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7" customWidth="1" min="3" max="3"/>
    <col width="44" customWidth="1" min="4" max="4"/>
    <col width="8" customWidth="1" min="5" max="5"/>
    <col width="26" customWidth="1" min="6" max="6"/>
    <col width="16" customWidth="1" min="7" max="7"/>
    <col width="7" customWidth="1" min="8" max="8"/>
    <col width="8" customWidth="1" min="9" max="9"/>
    <col width="13" customWidth="1" min="10" max="10"/>
    <col width="16" customWidth="1" min="11" max="11"/>
    <col width="12" customWidth="1" min="12" max="12"/>
    <col width="12" customWidth="1" min="13" max="13"/>
    <col width="34" customWidth="1" min="14" max="14"/>
    <col width="30" customWidth="1" min="15" max="15"/>
    <col width="30" customWidth="1" min="16" max="16"/>
    <col width="48" customWidth="1" min="17" max="17"/>
  </cols>
  <sheetData>
    <row r="1">
      <c r="A1" s="4" t="inlineStr">
        <is>
          <t>Target tracker: Target: the vulnerable marketplace and its 11 challenges</t>
        </is>
      </c>
    </row>
    <row r="2">
      <c r="A2" s="5" t="inlineStr">
        <is>
          <t>Developer: Sahil Roy. Mirrors docs/bmad/initiative-target/ (the markdown tracker is updated automatically by the Claude rule; this sheet is updated by hand). Yellow cells are yours to fill in.</t>
        </is>
      </c>
    </row>
    <row r="4">
      <c r="A4" s="6" t="inlineStr">
        <is>
          <t>Level</t>
        </is>
      </c>
      <c r="B4" s="6" t="inlineStr">
        <is>
          <t>Epic</t>
        </is>
      </c>
      <c r="C4" s="6" t="inlineStr">
        <is>
          <t>Ref</t>
        </is>
      </c>
      <c r="D4" s="6" t="inlineStr">
        <is>
          <t>Title</t>
        </is>
      </c>
      <c r="E4" s="6" t="inlineStr">
        <is>
          <t>Type</t>
        </is>
      </c>
      <c r="F4" s="6" t="inlineStr">
        <is>
          <t>Requirements</t>
        </is>
      </c>
      <c r="G4" s="6" t="inlineStr">
        <is>
          <t>Depends on</t>
        </is>
      </c>
      <c r="H4" s="6" t="inlineStr">
        <is>
          <t>HITL</t>
        </is>
      </c>
      <c r="I4" s="6" t="inlineStr">
        <is>
          <t>Risk</t>
        </is>
      </c>
      <c r="J4" s="6" t="inlineStr">
        <is>
          <t>Status</t>
        </is>
      </c>
      <c r="K4" s="6" t="inlineStr">
        <is>
          <t>Assignee</t>
        </is>
      </c>
      <c r="L4" s="6" t="inlineStr">
        <is>
          <t>Started</t>
        </is>
      </c>
      <c r="M4" s="6" t="inlineStr">
        <is>
          <t>Finished</t>
        </is>
      </c>
      <c r="N4" s="6" t="inlineStr">
        <is>
          <t>Tests run and result</t>
        </is>
      </c>
      <c r="O4" s="6" t="inlineStr">
        <is>
          <t>Dev-log entry</t>
        </is>
      </c>
      <c r="P4" s="6" t="inlineStr">
        <is>
          <t>Plan file</t>
        </is>
      </c>
      <c r="Q4" s="6" t="inlineStr">
        <is>
          <t>Notes and blockers</t>
        </is>
      </c>
    </row>
    <row r="5">
      <c r="A5" s="12" t="inlineStr">
        <is>
          <t>Example</t>
        </is>
      </c>
      <c r="B5" s="12" t="inlineStr">
        <is>
          <t>E1 Example epic</t>
        </is>
      </c>
      <c r="C5" s="12" t="inlineStr">
        <is>
          <t>1.1</t>
        </is>
      </c>
      <c r="D5" s="12" t="inlineStr">
        <is>
          <t>EXAMPLE (delete this row): Platform stack runs end to end locally</t>
        </is>
      </c>
      <c r="E5" s="12" t="inlineStr">
        <is>
          <t>story</t>
        </is>
      </c>
      <c r="F5" s="12" t="inlineStr">
        <is>
          <t>PB-7; PB-8</t>
        </is>
      </c>
      <c r="G5" s="12" t="inlineStr">
        <is>
          <t>none</t>
        </is>
      </c>
      <c r="H5" s="12" t="inlineStr">
        <is>
          <t>yes</t>
        </is>
      </c>
      <c r="I5" s="12" t="inlineStr">
        <is>
          <t>medium</t>
        </is>
      </c>
      <c r="J5" s="12" t="inlineStr">
        <is>
          <t>done</t>
        </is>
      </c>
      <c r="K5" s="12" t="inlineStr">
        <is>
          <t>Akshay Gupta</t>
        </is>
      </c>
      <c r="L5" s="12" t="inlineStr">
        <is>
          <t>2026-10-12</t>
        </is>
      </c>
      <c r="M5" s="12" t="inlineStr">
        <is>
          <t>2026-10-13</t>
        </is>
      </c>
      <c r="N5" s="12" t="inlineStr">
        <is>
          <t>Compose up on the Mac: API health OK; node scripts/verify-skills.mjs OK</t>
        </is>
      </c>
      <c r="O5" s="12" t="inlineStr">
        <is>
          <t>docs/dev-log/2026-10-13-akshay-platform-stack.md</t>
        </is>
      </c>
      <c r="P5" s="12" t="inlineStr">
        <is>
          <t>docs/bmad/initiative-platform/epic-platform-baseline/story-...-plan.md</t>
        </is>
      </c>
      <c r="Q5" s="12" t="inlineStr">
        <is>
          <t>Example of a finished row.</t>
        </is>
      </c>
    </row>
    <row r="6">
      <c r="A6" s="13" t="inlineStr">
        <is>
          <t>Epic</t>
        </is>
      </c>
      <c r="B6" s="14" t="inlineStr">
        <is>
          <t>E1 Target baseline and sprint-zero contracts</t>
        </is>
      </c>
      <c r="C6" s="14" t="inlineStr">
        <is>
          <t>E1</t>
        </is>
      </c>
      <c r="D6" s="13" t="inlineStr">
        <is>
          <t>Target baseline and sprint-zero contracts</t>
        </is>
      </c>
      <c r="E6" s="14" t="inlineStr">
        <is>
          <t>epic</t>
        </is>
      </c>
      <c r="F6" s="14" t="inlineStr">
        <is>
          <t>baseline: see epic file</t>
        </is>
      </c>
      <c r="G6" s="14" t="inlineStr">
        <is>
          <t>none</t>
        </is>
      </c>
      <c r="H6" s="14" t="inlineStr"/>
      <c r="I6" s="14" t="inlineStr">
        <is>
          <t>medium</t>
        </is>
      </c>
      <c r="J6" s="15" t="inlineStr">
        <is>
          <t>planned</t>
        </is>
      </c>
      <c r="K6" s="15" t="inlineStr">
        <is>
          <t>Sahil Roy</t>
        </is>
      </c>
      <c r="L6" s="16" t="n"/>
      <c r="M6" s="16" t="n"/>
      <c r="N6" s="15" t="n"/>
      <c r="O6" s="15" t="n"/>
      <c r="P6" s="15" t="inlineStr">
        <is>
          <t>docs/bmad/initiative-target/epic-target-baseline/epic-target-baseline.md</t>
        </is>
      </c>
      <c r="Q6" s="15" t="inlineStr"/>
    </row>
    <row r="7">
      <c r="A7" s="17" t="inlineStr">
        <is>
          <t>Story</t>
        </is>
      </c>
      <c r="B7" s="17" t="inlineStr">
        <is>
          <t>E1 Target baseline and sprint-zero contracts</t>
        </is>
      </c>
      <c r="C7" s="17" t="inlineStr">
        <is>
          <t>1.1</t>
        </is>
      </c>
      <c r="D7" s="17" t="inlineStr">
        <is>
          <t>Shop skeleton runs in a container (tracer bullet)</t>
        </is>
      </c>
      <c r="E7" s="17" t="inlineStr">
        <is>
          <t>story</t>
        </is>
      </c>
      <c r="F7" s="17" t="inlineStr">
        <is>
          <t>TB-3; TB-5</t>
        </is>
      </c>
      <c r="G7" s="17" t="inlineStr">
        <is>
          <t>none</t>
        </is>
      </c>
      <c r="H7" s="17" t="inlineStr">
        <is>
          <t>yes</t>
        </is>
      </c>
      <c r="I7" s="17" t="inlineStr">
        <is>
          <t>low</t>
        </is>
      </c>
      <c r="J7" s="15" t="inlineStr">
        <is>
          <t>planned</t>
        </is>
      </c>
      <c r="K7" s="15" t="inlineStr">
        <is>
          <t>Sahil Roy</t>
        </is>
      </c>
      <c r="L7" s="16" t="n"/>
      <c r="M7" s="16" t="n"/>
      <c r="N7" s="15" t="n"/>
      <c r="O7" s="15" t="n"/>
      <c r="P7" s="15" t="n"/>
      <c r="Q7" s="15" t="inlineStr">
        <is>
          <t>BLOCKED UNTIL: Waits on initiative-lab epic-lab-baseline entry 1 (repository skeleton, tooling and CI) being merged so the shop folder has a home; remove when merged.</t>
        </is>
      </c>
    </row>
    <row r="8">
      <c r="A8" s="17" t="inlineStr">
        <is>
          <t>Story</t>
        </is>
      </c>
      <c r="B8" s="17" t="inlineStr">
        <is>
          <t>E1 Target baseline and sprint-zero contracts</t>
        </is>
      </c>
      <c r="C8" s="17" t="inlineStr">
        <is>
          <t>1.2</t>
        </is>
      </c>
      <c r="D8" s="17" t="inlineStr">
        <is>
          <t>Challenge catalogue schema and 11 stub entries (IF-7)</t>
        </is>
      </c>
      <c r="E8" s="17" t="inlineStr">
        <is>
          <t>story</t>
        </is>
      </c>
      <c r="F8" s="17" t="inlineStr">
        <is>
          <t>TB-1</t>
        </is>
      </c>
      <c r="G8" s="17" t="inlineStr">
        <is>
          <t>none</t>
        </is>
      </c>
      <c r="H8" s="17" t="inlineStr">
        <is>
          <t>no</t>
        </is>
      </c>
      <c r="I8" s="17" t="inlineStr">
        <is>
          <t>low</t>
        </is>
      </c>
      <c r="J8" s="15" t="inlineStr">
        <is>
          <t>planned</t>
        </is>
      </c>
      <c r="K8" s="15" t="inlineStr">
        <is>
          <t>Sahil Roy</t>
        </is>
      </c>
      <c r="L8" s="16" t="n"/>
      <c r="M8" s="16" t="n"/>
      <c r="N8" s="15" t="n"/>
      <c r="O8" s="15" t="n"/>
      <c r="P8" s="15" t="n"/>
      <c r="Q8" s="15" t="inlineStr">
        <is>
          <t>BLOCKED UNTIL: Waits on initiative-lab epic-lab-baseline entry 1 (repository skeleton) being merged; remove when merged.</t>
        </is>
      </c>
    </row>
    <row r="9">
      <c r="A9" s="17" t="inlineStr">
        <is>
          <t>Story</t>
        </is>
      </c>
      <c r="B9" s="17" t="inlineStr">
        <is>
          <t>E1 Target baseline and sprint-zero contracts</t>
        </is>
      </c>
      <c r="C9" s="17" t="inlineStr">
        <is>
          <t>1.3</t>
        </is>
      </c>
      <c r="D9" s="17" t="inlineStr">
        <is>
          <t>Review the instance contract and event schema as consumer</t>
        </is>
      </c>
      <c r="E9" s="17" t="inlineStr">
        <is>
          <t>story</t>
        </is>
      </c>
      <c r="F9" s="17" t="inlineStr">
        <is>
          <t>TB-2</t>
        </is>
      </c>
      <c r="G9" s="17" t="inlineStr">
        <is>
          <t>none</t>
        </is>
      </c>
      <c r="H9" s="17" t="inlineStr">
        <is>
          <t>yes</t>
        </is>
      </c>
      <c r="I9" s="17" t="inlineStr">
        <is>
          <t>low</t>
        </is>
      </c>
      <c r="J9" s="15" t="inlineStr">
        <is>
          <t>planned</t>
        </is>
      </c>
      <c r="K9" s="15" t="inlineStr">
        <is>
          <t>Sahil Roy</t>
        </is>
      </c>
      <c r="L9" s="16" t="n"/>
      <c r="M9" s="16" t="n"/>
      <c r="N9" s="15" t="n"/>
      <c r="O9" s="15" t="n"/>
      <c r="P9" s="15" t="n"/>
      <c r="Q9" s="15" t="inlineStr">
        <is>
          <t>BLOCKED UNTIL: Waits on draft pull requests of initiative-lab epic-lab-baseline entries 2 and 3 (instance contract v0, instance event schema); remove when they are open for review.</t>
        </is>
      </c>
    </row>
    <row r="10">
      <c r="A10" s="17" t="inlineStr">
        <is>
          <t>Story</t>
        </is>
      </c>
      <c r="B10" s="17" t="inlineStr">
        <is>
          <t>E1 Target baseline and sprint-zero contracts</t>
        </is>
      </c>
      <c r="C10" s="17" t="inlineStr">
        <is>
          <t>1.4</t>
        </is>
      </c>
      <c r="D10" s="17" t="inlineStr">
        <is>
          <t>Shop skeleton meets the instance contract in the lab harness</t>
        </is>
      </c>
      <c r="E10" s="17" t="inlineStr">
        <is>
          <t>story</t>
        </is>
      </c>
      <c r="F10" s="17" t="inlineStr">
        <is>
          <t>TB-3</t>
        </is>
      </c>
      <c r="G10" s="17" t="inlineStr">
        <is>
          <t>1.1, 1.3</t>
        </is>
      </c>
      <c r="H10" s="17" t="inlineStr">
        <is>
          <t>no</t>
        </is>
      </c>
      <c r="I10" s="17" t="inlineStr">
        <is>
          <t>medium</t>
        </is>
      </c>
      <c r="J10" s="15" t="inlineStr">
        <is>
          <t>planned</t>
        </is>
      </c>
      <c r="K10" s="15" t="inlineStr">
        <is>
          <t>Sahil Roy</t>
        </is>
      </c>
      <c r="L10" s="16" t="n"/>
      <c r="M10" s="16" t="n"/>
      <c r="N10" s="15" t="n"/>
      <c r="O10" s="15" t="n"/>
      <c r="P10" s="15" t="n"/>
      <c r="Q10" s="15" t="inlineStr">
        <is>
          <t>BLOCKED UNTIL: Waits on initiative-lab epic-lab-baseline entry 5 (stub shop, fake ingest and lab harness) being merged; remove when merged.</t>
        </is>
      </c>
    </row>
    <row r="11">
      <c r="A11" s="17" t="inlineStr">
        <is>
          <t>Story</t>
        </is>
      </c>
      <c r="B11" s="17" t="inlineStr">
        <is>
          <t>E1 Target baseline and sprint-zero contracts</t>
        </is>
      </c>
      <c r="C11" s="17" t="inlineStr">
        <is>
          <t>1.5</t>
        </is>
      </c>
      <c r="D11" s="17" t="inlineStr">
        <is>
          <t>Exploit test runner skeleton</t>
        </is>
      </c>
      <c r="E11" s="17" t="inlineStr">
        <is>
          <t>story</t>
        </is>
      </c>
      <c r="F11" s="17" t="inlineStr">
        <is>
          <t>TB-4</t>
        </is>
      </c>
      <c r="G11" s="17" t="inlineStr">
        <is>
          <t>1.1</t>
        </is>
      </c>
      <c r="H11" s="17" t="inlineStr">
        <is>
          <t>no</t>
        </is>
      </c>
      <c r="I11" s="17" t="inlineStr">
        <is>
          <t>low</t>
        </is>
      </c>
      <c r="J11" s="15" t="inlineStr">
        <is>
          <t>planned</t>
        </is>
      </c>
      <c r="K11" s="15" t="inlineStr">
        <is>
          <t>Sahil Roy</t>
        </is>
      </c>
      <c r="L11" s="16" t="n"/>
      <c r="M11" s="16" t="n"/>
      <c r="N11" s="15" t="n"/>
      <c r="O11" s="15" t="n"/>
      <c r="P11" s="15" t="n"/>
      <c r="Q11" s="15" t="inlineStr"/>
    </row>
    <row r="12">
      <c r="A12" s="17" t="inlineStr">
        <is>
          <t>Story</t>
        </is>
      </c>
      <c r="B12" s="17" t="inlineStr">
        <is>
          <t>E1 Target baseline and sprint-zero contracts</t>
        </is>
      </c>
      <c r="C12" s="17" t="inlineStr">
        <is>
          <t>1.6</t>
        </is>
      </c>
      <c r="D12" s="17" t="inlineStr">
        <is>
          <t>Refactor sweep</t>
        </is>
      </c>
      <c r="E12" s="17" t="inlineStr">
        <is>
          <t>story</t>
        </is>
      </c>
      <c r="F12" s="17" t="inlineStr"/>
      <c r="G12" s="17" t="inlineStr">
        <is>
          <t>1.1, 1.2, 1.3, 1.4, 1.5</t>
        </is>
      </c>
      <c r="H12" s="17" t="inlineStr">
        <is>
          <t>no</t>
        </is>
      </c>
      <c r="I12" s="17" t="inlineStr">
        <is>
          <t>low</t>
        </is>
      </c>
      <c r="J12" s="15" t="inlineStr">
        <is>
          <t>planned</t>
        </is>
      </c>
      <c r="K12" s="15" t="inlineStr">
        <is>
          <t>Sahil Roy</t>
        </is>
      </c>
      <c r="L12" s="16" t="n"/>
      <c r="M12" s="16" t="n"/>
      <c r="N12" s="15" t="n"/>
      <c r="O12" s="15" t="n"/>
      <c r="P12" s="15" t="n"/>
      <c r="Q12" s="15" t="inlineStr"/>
    </row>
    <row r="13">
      <c r="A13" s="13" t="inlineStr">
        <is>
          <t>Epic</t>
        </is>
      </c>
      <c r="B13" s="14" t="inlineStr">
        <is>
          <t>E2 The shop runs inside an instance: seeding, injection, events, services</t>
        </is>
      </c>
      <c r="C13" s="14" t="inlineStr">
        <is>
          <t>E2</t>
        </is>
      </c>
      <c r="D13" s="13" t="inlineStr">
        <is>
          <t>The shop runs inside an instance: seeding, injection, events, services</t>
        </is>
      </c>
      <c r="E13" s="14" t="inlineStr">
        <is>
          <t>epic</t>
        </is>
      </c>
      <c r="F13" s="14" t="inlineStr">
        <is>
          <t>FR-SHP-11 to 15</t>
        </is>
      </c>
      <c r="G13" s="14" t="inlineStr">
        <is>
          <t>E1</t>
        </is>
      </c>
      <c r="H13" s="14" t="inlineStr"/>
      <c r="I13" s="14" t="inlineStr">
        <is>
          <t>high</t>
        </is>
      </c>
      <c r="J13" s="15" t="inlineStr">
        <is>
          <t>planned</t>
        </is>
      </c>
      <c r="K13" s="15" t="inlineStr">
        <is>
          <t>Sahil Roy</t>
        </is>
      </c>
      <c r="L13" s="16" t="n"/>
      <c r="M13" s="16" t="n"/>
      <c r="N13" s="15" t="n"/>
      <c r="O13" s="15" t="n"/>
      <c r="P13" s="15" t="inlineStr">
        <is>
          <t>docs/bmad/initiative-target/epic-shop-instance-integration/epic-shop-instance-integration.md</t>
        </is>
      </c>
      <c r="Q13" s="15" t="inlineStr">
        <is>
          <t>Stories are created one at a time by the developer (BMAD).</t>
        </is>
      </c>
    </row>
    <row r="14">
      <c r="A14" s="13" t="inlineStr">
        <is>
          <t>Epic</t>
        </is>
      </c>
      <c r="B14" s="14" t="inlineStr">
        <is>
          <t>E3 A believable marketplace with six roles</t>
        </is>
      </c>
      <c r="C14" s="14" t="inlineStr">
        <is>
          <t>E3</t>
        </is>
      </c>
      <c r="D14" s="13" t="inlineStr">
        <is>
          <t>A believable marketplace with six roles</t>
        </is>
      </c>
      <c r="E14" s="14" t="inlineStr">
        <is>
          <t>epic</t>
        </is>
      </c>
      <c r="F14" s="14" t="inlineStr">
        <is>
          <t>FR-SHP-01 to 05; FR-SHP-07 to 09</t>
        </is>
      </c>
      <c r="G14" s="14" t="inlineStr">
        <is>
          <t>E2</t>
        </is>
      </c>
      <c r="H14" s="14" t="inlineStr"/>
      <c r="I14" s="14" t="inlineStr">
        <is>
          <t>medium</t>
        </is>
      </c>
      <c r="J14" s="15" t="inlineStr">
        <is>
          <t>planned</t>
        </is>
      </c>
      <c r="K14" s="15" t="inlineStr">
        <is>
          <t>Sahil Roy</t>
        </is>
      </c>
      <c r="L14" s="16" t="n"/>
      <c r="M14" s="16" t="n"/>
      <c r="N14" s="15" t="n"/>
      <c r="O14" s="15" t="n"/>
      <c r="P14" s="15" t="inlineStr">
        <is>
          <t>docs/bmad/initiative-target/epic-shop-core-and-roles/epic-shop-core-and-roles.md</t>
        </is>
      </c>
      <c r="Q14" s="15" t="inlineStr">
        <is>
          <t>Stories are created one at a time by the developer (BMAD).</t>
        </is>
      </c>
    </row>
    <row r="15">
      <c r="A15" s="13" t="inlineStr">
        <is>
          <t>Epic</t>
        </is>
      </c>
      <c r="B15" s="14" t="inlineStr">
        <is>
          <t>E4 Sellers, refunds, disputes and payouts work correctly</t>
        </is>
      </c>
      <c r="C15" s="14" t="inlineStr">
        <is>
          <t>E4</t>
        </is>
      </c>
      <c r="D15" s="13" t="inlineStr">
        <is>
          <t>Sellers, refunds, disputes and payouts work correctly</t>
        </is>
      </c>
      <c r="E15" s="14" t="inlineStr">
        <is>
          <t>epic</t>
        </is>
      </c>
      <c r="F15" s="14" t="inlineStr">
        <is>
          <t>FR-SHP-06; FR-SHP-10</t>
        </is>
      </c>
      <c r="G15" s="14" t="inlineStr">
        <is>
          <t>E3</t>
        </is>
      </c>
      <c r="H15" s="14" t="inlineStr"/>
      <c r="I15" s="14" t="inlineStr">
        <is>
          <t>medium</t>
        </is>
      </c>
      <c r="J15" s="15" t="inlineStr">
        <is>
          <t>planned</t>
        </is>
      </c>
      <c r="K15" s="15" t="inlineStr">
        <is>
          <t>Sahil Roy</t>
        </is>
      </c>
      <c r="L15" s="16" t="n"/>
      <c r="M15" s="16" t="n"/>
      <c r="N15" s="15" t="n"/>
      <c r="O15" s="15" t="n"/>
      <c r="P15" s="15" t="inlineStr">
        <is>
          <t>docs/bmad/initiative-target/epic-shop-seller-and-money/epic-shop-seller-and-money.md</t>
        </is>
      </c>
      <c r="Q15" s="15" t="inlineStr">
        <is>
          <t>Stories are created one at a time by the developer (BMAD).</t>
        </is>
      </c>
    </row>
    <row r="16">
      <c r="A16" s="13" t="inlineStr">
        <is>
          <t>Epic</t>
        </is>
      </c>
      <c r="B16" s="14" t="inlineStr">
        <is>
          <t>E5 Challenges C01 to C04: access control, crypto, injection, insecure design</t>
        </is>
      </c>
      <c r="C16" s="14" t="inlineStr">
        <is>
          <t>E5</t>
        </is>
      </c>
      <c r="D16" s="13" t="inlineStr">
        <is>
          <t>Challenges C01 to C04: access control, crypto, injection, insecure design</t>
        </is>
      </c>
      <c r="E16" s="14" t="inlineStr">
        <is>
          <t>epic</t>
        </is>
      </c>
      <c r="F16" s="14" t="inlineStr">
        <is>
          <t>FR-CHL-02 to 05</t>
        </is>
      </c>
      <c r="G16" s="14" t="inlineStr">
        <is>
          <t>E3, E4, E2</t>
        </is>
      </c>
      <c r="H16" s="14" t="inlineStr"/>
      <c r="I16" s="14" t="inlineStr">
        <is>
          <t>high</t>
        </is>
      </c>
      <c r="J16" s="15" t="inlineStr">
        <is>
          <t>planned</t>
        </is>
      </c>
      <c r="K16" s="15" t="inlineStr">
        <is>
          <t>Sahil Roy</t>
        </is>
      </c>
      <c r="L16" s="16" t="n"/>
      <c r="M16" s="16" t="n"/>
      <c r="N16" s="15" t="n"/>
      <c r="O16" s="15" t="n"/>
      <c r="P16" s="15" t="inlineStr">
        <is>
          <t>docs/bmad/initiative-target/epic-challenges-c01-c04/epic-challenges-c01-c04.md</t>
        </is>
      </c>
      <c r="Q16" s="15" t="inlineStr">
        <is>
          <t>Stories are created one at a time by the developer (BMAD).</t>
        </is>
      </c>
    </row>
    <row r="17">
      <c r="A17" s="13" t="inlineStr">
        <is>
          <t>Epic</t>
        </is>
      </c>
      <c r="B17" s="14" t="inlineStr">
        <is>
          <t>E6 Challenges C05 to C08: misconfiguration, components, authentication, integrity</t>
        </is>
      </c>
      <c r="C17" s="14" t="inlineStr">
        <is>
          <t>E6</t>
        </is>
      </c>
      <c r="D17" s="13" t="inlineStr">
        <is>
          <t>Challenges C05 to C08: misconfiguration, components, authentication, integrity</t>
        </is>
      </c>
      <c r="E17" s="14" t="inlineStr">
        <is>
          <t>epic</t>
        </is>
      </c>
      <c r="F17" s="14" t="inlineStr">
        <is>
          <t>FR-CHL-06 to 09</t>
        </is>
      </c>
      <c r="G17" s="14" t="inlineStr">
        <is>
          <t>E3, E2</t>
        </is>
      </c>
      <c r="H17" s="14" t="inlineStr"/>
      <c r="I17" s="14" t="inlineStr">
        <is>
          <t>high</t>
        </is>
      </c>
      <c r="J17" s="15" t="inlineStr">
        <is>
          <t>planned</t>
        </is>
      </c>
      <c r="K17" s="15" t="inlineStr">
        <is>
          <t>Sahil Roy</t>
        </is>
      </c>
      <c r="L17" s="16" t="n"/>
      <c r="M17" s="16" t="n"/>
      <c r="N17" s="15" t="n"/>
      <c r="O17" s="15" t="n"/>
      <c r="P17" s="15" t="inlineStr">
        <is>
          <t>docs/bmad/initiative-target/epic-challenges-c05-c08/epic-challenges-c05-c08.md</t>
        </is>
      </c>
      <c r="Q17" s="15" t="inlineStr">
        <is>
          <t>Stories are created one at a time by the developer (BMAD).</t>
        </is>
      </c>
    </row>
    <row r="18">
      <c r="A18" s="13" t="inlineStr">
        <is>
          <t>Epic</t>
        </is>
      </c>
      <c r="B18" s="14" t="inlineStr">
        <is>
          <t>E7 Challenges C09 to C11: logging, SSRF, exceptional conditions</t>
        </is>
      </c>
      <c r="C18" s="14" t="inlineStr">
        <is>
          <t>E7</t>
        </is>
      </c>
      <c r="D18" s="13" t="inlineStr">
        <is>
          <t>Challenges C09 to C11: logging, SSRF, exceptional conditions</t>
        </is>
      </c>
      <c r="E18" s="14" t="inlineStr">
        <is>
          <t>epic</t>
        </is>
      </c>
      <c r="F18" s="14" t="inlineStr">
        <is>
          <t>FR-CHL-10 to 12</t>
        </is>
      </c>
      <c r="G18" s="14" t="inlineStr">
        <is>
          <t>E4, E2</t>
        </is>
      </c>
      <c r="H18" s="14" t="inlineStr"/>
      <c r="I18" s="14" t="inlineStr">
        <is>
          <t>high</t>
        </is>
      </c>
      <c r="J18" s="15" t="inlineStr">
        <is>
          <t>planned</t>
        </is>
      </c>
      <c r="K18" s="15" t="inlineStr">
        <is>
          <t>Sahil Roy</t>
        </is>
      </c>
      <c r="L18" s="16" t="n"/>
      <c r="M18" s="16" t="n"/>
      <c r="N18" s="15" t="n"/>
      <c r="O18" s="15" t="n"/>
      <c r="P18" s="15" t="inlineStr">
        <is>
          <t>docs/bmad/initiative-target/epic-challenges-c09-c11/epic-challenges-c09-c11.md</t>
        </is>
      </c>
      <c r="Q18" s="15" t="inlineStr">
        <is>
          <t>Stories are created one at a time by the developer (BMAD).</t>
        </is>
      </c>
    </row>
    <row r="19">
      <c r="A19" s="13" t="inlineStr">
        <is>
          <t>Epic</t>
        </is>
      </c>
      <c r="B19" s="14" t="inlineStr">
        <is>
          <t>E8 Catalogue, hints, write-ups and exploit verification for all 11 challenges</t>
        </is>
      </c>
      <c r="C19" s="14" t="inlineStr">
        <is>
          <t>E8</t>
        </is>
      </c>
      <c r="D19" s="13" t="inlineStr">
        <is>
          <t>Catalogue, hints, write-ups and exploit verification for all 11 challenges</t>
        </is>
      </c>
      <c r="E19" s="14" t="inlineStr">
        <is>
          <t>epic</t>
        </is>
      </c>
      <c r="F19" s="14" t="inlineStr">
        <is>
          <t>FR-CHL-01; FR-CHL-13 to 17</t>
        </is>
      </c>
      <c r="G19" s="14" t="inlineStr">
        <is>
          <t>E5, E6, E7</t>
        </is>
      </c>
      <c r="H19" s="14" t="inlineStr"/>
      <c r="I19" s="14" t="inlineStr">
        <is>
          <t>medium</t>
        </is>
      </c>
      <c r="J19" s="15" t="inlineStr">
        <is>
          <t>planned</t>
        </is>
      </c>
      <c r="K19" s="15" t="inlineStr">
        <is>
          <t>Sahil Roy</t>
        </is>
      </c>
      <c r="L19" s="16" t="n"/>
      <c r="M19" s="16" t="n"/>
      <c r="N19" s="15" t="n"/>
      <c r="O19" s="15" t="n"/>
      <c r="P19" s="15" t="inlineStr">
        <is>
          <t>docs/bmad/initiative-target/epic-catalogue-hints-and-verification/epic-catalogue-hints-and-verification.md</t>
        </is>
      </c>
      <c r="Q19" s="15" t="inlineStr">
        <is>
          <t>Stories are created one at a time by the developer (BMAD).</t>
        </is>
      </c>
    </row>
    <row r="20">
      <c r="L20" s="18" t="n"/>
      <c r="M20" s="18" t="n"/>
    </row>
    <row r="21">
      <c r="L21" s="18" t="n"/>
      <c r="M21" s="18" t="n"/>
    </row>
    <row r="22">
      <c r="L22" s="18" t="n"/>
      <c r="M22" s="18" t="n"/>
    </row>
    <row r="23">
      <c r="L23" s="18" t="n"/>
      <c r="M23" s="18" t="n"/>
    </row>
    <row r="24">
      <c r="L24" s="18" t="n"/>
      <c r="M24" s="18" t="n"/>
    </row>
    <row r="25">
      <c r="L25" s="18" t="n"/>
      <c r="M25" s="18" t="n"/>
    </row>
    <row r="26">
      <c r="L26" s="18" t="n"/>
      <c r="M26" s="18" t="n"/>
    </row>
    <row r="27">
      <c r="L27" s="18" t="n"/>
      <c r="M27" s="18" t="n"/>
    </row>
    <row r="28">
      <c r="L28" s="18" t="n"/>
      <c r="M28" s="18" t="n"/>
    </row>
    <row r="29">
      <c r="L29" s="18" t="n"/>
      <c r="M29" s="18" t="n"/>
    </row>
    <row r="30">
      <c r="L30" s="18" t="n"/>
      <c r="M30" s="18" t="n"/>
    </row>
    <row r="31">
      <c r="L31" s="18" t="n"/>
      <c r="M31" s="18" t="n"/>
    </row>
    <row r="32">
      <c r="L32" s="18" t="n"/>
      <c r="M32" s="18" t="n"/>
    </row>
    <row r="33">
      <c r="L33" s="18" t="n"/>
      <c r="M33" s="18" t="n"/>
    </row>
    <row r="34">
      <c r="L34" s="18" t="n"/>
      <c r="M34" s="18" t="n"/>
    </row>
    <row r="35">
      <c r="L35" s="18" t="n"/>
      <c r="M35" s="18" t="n"/>
    </row>
    <row r="36">
      <c r="L36" s="18" t="n"/>
      <c r="M36" s="18" t="n"/>
    </row>
    <row r="37">
      <c r="L37" s="18" t="n"/>
      <c r="M37" s="18" t="n"/>
    </row>
    <row r="38">
      <c r="L38" s="18" t="n"/>
      <c r="M38" s="18" t="n"/>
    </row>
    <row r="39">
      <c r="L39" s="18" t="n"/>
      <c r="M39" s="18" t="n"/>
    </row>
    <row r="40">
      <c r="L40" s="18" t="n"/>
      <c r="M40" s="18" t="n"/>
    </row>
    <row r="41">
      <c r="L41" s="18" t="n"/>
      <c r="M41" s="18" t="n"/>
    </row>
    <row r="42">
      <c r="L42" s="18" t="n"/>
      <c r="M42" s="18" t="n"/>
    </row>
    <row r="43">
      <c r="L43" s="18" t="n"/>
      <c r="M43" s="18" t="n"/>
    </row>
    <row r="44">
      <c r="L44" s="18" t="n"/>
      <c r="M44" s="18" t="n"/>
    </row>
    <row r="45">
      <c r="L45" s="18" t="n"/>
      <c r="M45" s="18" t="n"/>
    </row>
    <row r="46">
      <c r="L46" s="18" t="n"/>
      <c r="M46" s="18" t="n"/>
    </row>
    <row r="47">
      <c r="L47" s="18" t="n"/>
      <c r="M47" s="18" t="n"/>
    </row>
    <row r="48">
      <c r="L48" s="18" t="n"/>
      <c r="M48" s="18" t="n"/>
    </row>
    <row r="49">
      <c r="L49" s="18" t="n"/>
      <c r="M49" s="18" t="n"/>
    </row>
    <row r="50">
      <c r="L50" s="18" t="n"/>
      <c r="M50" s="18" t="n"/>
    </row>
    <row r="51">
      <c r="L51" s="18" t="n"/>
      <c r="M51" s="18" t="n"/>
    </row>
    <row r="52">
      <c r="L52" s="18" t="n"/>
      <c r="M52" s="18" t="n"/>
    </row>
    <row r="53">
      <c r="L53" s="18" t="n"/>
      <c r="M53" s="18" t="n"/>
    </row>
    <row r="54">
      <c r="L54" s="18" t="n"/>
      <c r="M54" s="18" t="n"/>
    </row>
    <row r="55">
      <c r="L55" s="18" t="n"/>
      <c r="M55" s="18" t="n"/>
    </row>
    <row r="56">
      <c r="L56" s="18" t="n"/>
      <c r="M56" s="18" t="n"/>
    </row>
    <row r="57">
      <c r="L57" s="18" t="n"/>
      <c r="M57" s="18" t="n"/>
    </row>
    <row r="58">
      <c r="L58" s="18" t="n"/>
      <c r="M58" s="18" t="n"/>
    </row>
    <row r="59">
      <c r="L59" s="18" t="n"/>
      <c r="M59" s="18" t="n"/>
    </row>
    <row r="60">
      <c r="L60" s="18" t="n"/>
      <c r="M60" s="18" t="n"/>
    </row>
    <row r="61">
      <c r="L61" s="18" t="n"/>
      <c r="M61" s="18" t="n"/>
    </row>
    <row r="62">
      <c r="L62" s="18" t="n"/>
      <c r="M62" s="18" t="n"/>
    </row>
    <row r="63">
      <c r="L63" s="18" t="n"/>
      <c r="M63" s="18" t="n"/>
    </row>
    <row r="64">
      <c r="L64" s="18" t="n"/>
      <c r="M64" s="18" t="n"/>
    </row>
    <row r="65">
      <c r="L65" s="18" t="n"/>
      <c r="M65" s="18" t="n"/>
    </row>
    <row r="66">
      <c r="L66" s="18" t="n"/>
      <c r="M66" s="18" t="n"/>
    </row>
    <row r="67">
      <c r="L67" s="18" t="n"/>
      <c r="M67" s="18" t="n"/>
    </row>
    <row r="68">
      <c r="L68" s="18" t="n"/>
      <c r="M68" s="18" t="n"/>
    </row>
    <row r="69">
      <c r="L69" s="18" t="n"/>
      <c r="M69" s="18" t="n"/>
    </row>
    <row r="70">
      <c r="L70" s="18" t="n"/>
      <c r="M70" s="18" t="n"/>
    </row>
    <row r="71">
      <c r="L71" s="18" t="n"/>
      <c r="M71" s="18" t="n"/>
    </row>
    <row r="72">
      <c r="L72" s="18" t="n"/>
      <c r="M72" s="18" t="n"/>
    </row>
    <row r="73">
      <c r="L73" s="18" t="n"/>
      <c r="M73" s="18" t="n"/>
    </row>
    <row r="74">
      <c r="L74" s="18" t="n"/>
      <c r="M74" s="18" t="n"/>
    </row>
    <row r="75">
      <c r="L75" s="18" t="n"/>
      <c r="M75" s="18" t="n"/>
    </row>
    <row r="76">
      <c r="L76" s="18" t="n"/>
      <c r="M76" s="18" t="n"/>
    </row>
    <row r="77">
      <c r="L77" s="18" t="n"/>
      <c r="M77" s="18" t="n"/>
    </row>
    <row r="78">
      <c r="L78" s="18" t="n"/>
      <c r="M78" s="18" t="n"/>
    </row>
    <row r="79">
      <c r="L79" s="18" t="n"/>
      <c r="M79" s="18" t="n"/>
    </row>
    <row r="80">
      <c r="L80" s="18" t="n"/>
      <c r="M80" s="18" t="n"/>
    </row>
    <row r="81">
      <c r="L81" s="18" t="n"/>
      <c r="M81" s="18" t="n"/>
    </row>
    <row r="82">
      <c r="L82" s="18" t="n"/>
      <c r="M82" s="18" t="n"/>
    </row>
    <row r="83">
      <c r="L83" s="18" t="n"/>
      <c r="M83" s="18" t="n"/>
    </row>
    <row r="84">
      <c r="L84" s="18" t="n"/>
      <c r="M84" s="18" t="n"/>
    </row>
    <row r="85">
      <c r="L85" s="18" t="n"/>
      <c r="M85" s="18" t="n"/>
    </row>
    <row r="86">
      <c r="L86" s="18" t="n"/>
      <c r="M86" s="18" t="n"/>
    </row>
    <row r="87">
      <c r="L87" s="18" t="n"/>
      <c r="M87" s="18" t="n"/>
    </row>
    <row r="88">
      <c r="L88" s="18" t="n"/>
      <c r="M88" s="18" t="n"/>
    </row>
    <row r="89">
      <c r="L89" s="18" t="n"/>
      <c r="M89" s="18" t="n"/>
    </row>
    <row r="90">
      <c r="L90" s="18" t="n"/>
      <c r="M90" s="18" t="n"/>
    </row>
    <row r="91">
      <c r="L91" s="18" t="n"/>
      <c r="M91" s="18" t="n"/>
    </row>
    <row r="92">
      <c r="L92" s="18" t="n"/>
      <c r="M92" s="18" t="n"/>
    </row>
    <row r="93">
      <c r="L93" s="18" t="n"/>
      <c r="M93" s="18" t="n"/>
    </row>
    <row r="94">
      <c r="L94" s="18" t="n"/>
      <c r="M94" s="18" t="n"/>
    </row>
    <row r="95">
      <c r="L95" s="18" t="n"/>
      <c r="M95" s="18" t="n"/>
    </row>
    <row r="96">
      <c r="L96" s="18" t="n"/>
      <c r="M96" s="18" t="n"/>
    </row>
    <row r="97">
      <c r="L97" s="18" t="n"/>
      <c r="M97" s="18" t="n"/>
    </row>
    <row r="98">
      <c r="L98" s="18" t="n"/>
      <c r="M98" s="18" t="n"/>
    </row>
    <row r="99">
      <c r="L99" s="18" t="n"/>
      <c r="M99" s="18" t="n"/>
    </row>
    <row r="100">
      <c r="L100" s="18" t="n"/>
      <c r="M100" s="18" t="n"/>
    </row>
    <row r="101">
      <c r="L101" s="18" t="n"/>
      <c r="M101" s="18" t="n"/>
    </row>
    <row r="102">
      <c r="L102" s="18" t="n"/>
      <c r="M102" s="18" t="n"/>
    </row>
    <row r="103">
      <c r="L103" s="18" t="n"/>
      <c r="M103" s="18" t="n"/>
    </row>
    <row r="104">
      <c r="L104" s="18" t="n"/>
      <c r="M104" s="18" t="n"/>
    </row>
    <row r="105">
      <c r="L105" s="18" t="n"/>
      <c r="M105" s="18" t="n"/>
    </row>
    <row r="106">
      <c r="L106" s="18" t="n"/>
      <c r="M106" s="18" t="n"/>
    </row>
    <row r="107">
      <c r="L107" s="18" t="n"/>
      <c r="M107" s="18" t="n"/>
    </row>
    <row r="108">
      <c r="L108" s="18" t="n"/>
      <c r="M108" s="18" t="n"/>
    </row>
    <row r="109">
      <c r="L109" s="18" t="n"/>
      <c r="M109" s="18" t="n"/>
    </row>
    <row r="110">
      <c r="L110" s="18" t="n"/>
      <c r="M110" s="18" t="n"/>
    </row>
    <row r="111">
      <c r="L111" s="18" t="n"/>
      <c r="M111" s="18" t="n"/>
    </row>
    <row r="112">
      <c r="L112" s="18" t="n"/>
      <c r="M112" s="18" t="n"/>
    </row>
    <row r="113">
      <c r="L113" s="18" t="n"/>
      <c r="M113" s="18" t="n"/>
    </row>
    <row r="114">
      <c r="L114" s="18" t="n"/>
      <c r="M114" s="18" t="n"/>
    </row>
    <row r="115">
      <c r="L115" s="18" t="n"/>
      <c r="M115" s="18" t="n"/>
    </row>
    <row r="116">
      <c r="L116" s="18" t="n"/>
      <c r="M116" s="18" t="n"/>
    </row>
    <row r="117">
      <c r="L117" s="18" t="n"/>
      <c r="M117" s="18" t="n"/>
    </row>
    <row r="118">
      <c r="L118" s="18" t="n"/>
      <c r="M118" s="18" t="n"/>
    </row>
    <row r="119">
      <c r="L119" s="18" t="n"/>
      <c r="M119" s="18" t="n"/>
    </row>
    <row r="120">
      <c r="L120" s="18" t="n"/>
      <c r="M120" s="18" t="n"/>
    </row>
    <row r="121">
      <c r="L121" s="18" t="n"/>
      <c r="M121" s="18" t="n"/>
    </row>
    <row r="122">
      <c r="L122" s="18" t="n"/>
      <c r="M122" s="18" t="n"/>
    </row>
    <row r="123">
      <c r="L123" s="18" t="n"/>
      <c r="M123" s="18" t="n"/>
    </row>
    <row r="124">
      <c r="L124" s="18" t="n"/>
      <c r="M124" s="18" t="n"/>
    </row>
    <row r="125">
      <c r="L125" s="18" t="n"/>
      <c r="M125" s="18" t="n"/>
    </row>
    <row r="126">
      <c r="L126" s="18" t="n"/>
      <c r="M126" s="18" t="n"/>
    </row>
    <row r="127">
      <c r="L127" s="18" t="n"/>
      <c r="M127" s="18" t="n"/>
    </row>
    <row r="128">
      <c r="L128" s="18" t="n"/>
      <c r="M128" s="18" t="n"/>
    </row>
    <row r="129">
      <c r="L129" s="18" t="n"/>
      <c r="M129" s="18" t="n"/>
    </row>
    <row r="130">
      <c r="L130" s="18" t="n"/>
      <c r="M130" s="18" t="n"/>
    </row>
    <row r="131">
      <c r="L131" s="18" t="n"/>
      <c r="M131" s="18" t="n"/>
    </row>
    <row r="132">
      <c r="L132" s="18" t="n"/>
      <c r="M132" s="18" t="n"/>
    </row>
    <row r="133">
      <c r="L133" s="18" t="n"/>
      <c r="M133" s="18" t="n"/>
    </row>
    <row r="134">
      <c r="L134" s="18" t="n"/>
      <c r="M134" s="18" t="n"/>
    </row>
    <row r="135">
      <c r="L135" s="18" t="n"/>
      <c r="M135" s="18" t="n"/>
    </row>
    <row r="136">
      <c r="L136" s="18" t="n"/>
      <c r="M136" s="18" t="n"/>
    </row>
    <row r="137">
      <c r="L137" s="18" t="n"/>
      <c r="M137" s="18" t="n"/>
    </row>
    <row r="138">
      <c r="L138" s="18" t="n"/>
      <c r="M138" s="18" t="n"/>
    </row>
    <row r="139">
      <c r="L139" s="18" t="n"/>
      <c r="M139" s="18" t="n"/>
    </row>
    <row r="140">
      <c r="L140" s="18" t="n"/>
      <c r="M140" s="18" t="n"/>
    </row>
    <row r="141">
      <c r="L141" s="18" t="n"/>
      <c r="M141" s="18" t="n"/>
    </row>
    <row r="142">
      <c r="L142" s="18" t="n"/>
      <c r="M142" s="18" t="n"/>
    </row>
    <row r="143">
      <c r="L143" s="18" t="n"/>
      <c r="M143" s="18" t="n"/>
    </row>
    <row r="144">
      <c r="L144" s="18" t="n"/>
      <c r="M144" s="18" t="n"/>
    </row>
    <row r="145">
      <c r="L145" s="18" t="n"/>
      <c r="M145" s="18" t="n"/>
    </row>
    <row r="146">
      <c r="L146" s="18" t="n"/>
      <c r="M146" s="18" t="n"/>
    </row>
    <row r="147">
      <c r="L147" s="18" t="n"/>
      <c r="M147" s="18" t="n"/>
    </row>
    <row r="148">
      <c r="L148" s="18" t="n"/>
      <c r="M148" s="18" t="n"/>
    </row>
    <row r="149">
      <c r="L149" s="18" t="n"/>
      <c r="M149" s="18" t="n"/>
    </row>
    <row r="150">
      <c r="L150" s="18" t="n"/>
      <c r="M150" s="18" t="n"/>
    </row>
    <row r="151">
      <c r="L151" s="18" t="n"/>
      <c r="M151" s="18" t="n"/>
    </row>
    <row r="152">
      <c r="L152" s="18" t="n"/>
      <c r="M152" s="18" t="n"/>
    </row>
    <row r="153">
      <c r="L153" s="18" t="n"/>
      <c r="M153" s="18" t="n"/>
    </row>
    <row r="154">
      <c r="L154" s="18" t="n"/>
      <c r="M154" s="18" t="n"/>
    </row>
    <row r="155">
      <c r="L155" s="18" t="n"/>
      <c r="M155" s="18" t="n"/>
    </row>
    <row r="156">
      <c r="L156" s="18" t="n"/>
      <c r="M156" s="18" t="n"/>
    </row>
    <row r="157">
      <c r="L157" s="18" t="n"/>
      <c r="M157" s="18" t="n"/>
    </row>
    <row r="158">
      <c r="L158" s="18" t="n"/>
      <c r="M158" s="18" t="n"/>
    </row>
    <row r="159">
      <c r="L159" s="18" t="n"/>
      <c r="M159" s="18" t="n"/>
    </row>
    <row r="160">
      <c r="L160" s="18" t="n"/>
      <c r="M160" s="18" t="n"/>
    </row>
    <row r="161">
      <c r="L161" s="18" t="n"/>
      <c r="M161" s="18" t="n"/>
    </row>
    <row r="162">
      <c r="L162" s="18" t="n"/>
      <c r="M162" s="18" t="n"/>
    </row>
    <row r="163">
      <c r="L163" s="18" t="n"/>
      <c r="M163" s="18" t="n"/>
    </row>
    <row r="164">
      <c r="L164" s="18" t="n"/>
      <c r="M164" s="18" t="n"/>
    </row>
    <row r="165">
      <c r="L165" s="18" t="n"/>
      <c r="M165" s="18" t="n"/>
    </row>
    <row r="166">
      <c r="L166" s="18" t="n"/>
      <c r="M166" s="18" t="n"/>
    </row>
    <row r="167">
      <c r="L167" s="18" t="n"/>
      <c r="M167" s="18" t="n"/>
    </row>
    <row r="168">
      <c r="L168" s="18" t="n"/>
      <c r="M168" s="18" t="n"/>
    </row>
    <row r="169">
      <c r="L169" s="18" t="n"/>
      <c r="M169" s="18" t="n"/>
    </row>
    <row r="170">
      <c r="L170" s="18" t="n"/>
      <c r="M170" s="18" t="n"/>
    </row>
    <row r="171">
      <c r="L171" s="18" t="n"/>
      <c r="M171" s="18" t="n"/>
    </row>
    <row r="172">
      <c r="L172" s="18" t="n"/>
      <c r="M172" s="18" t="n"/>
    </row>
    <row r="173">
      <c r="L173" s="18" t="n"/>
      <c r="M173" s="18" t="n"/>
    </row>
    <row r="174">
      <c r="L174" s="18" t="n"/>
      <c r="M174" s="18" t="n"/>
    </row>
    <row r="175">
      <c r="L175" s="18" t="n"/>
      <c r="M175" s="18" t="n"/>
    </row>
    <row r="176">
      <c r="L176" s="18" t="n"/>
      <c r="M176" s="18" t="n"/>
    </row>
    <row r="177">
      <c r="L177" s="18" t="n"/>
      <c r="M177" s="18" t="n"/>
    </row>
    <row r="178">
      <c r="L178" s="18" t="n"/>
      <c r="M178" s="18" t="n"/>
    </row>
    <row r="179">
      <c r="L179" s="18" t="n"/>
      <c r="M179" s="18" t="n"/>
    </row>
    <row r="180">
      <c r="L180" s="18" t="n"/>
      <c r="M180" s="18" t="n"/>
    </row>
    <row r="181">
      <c r="L181" s="18" t="n"/>
      <c r="M181" s="18" t="n"/>
    </row>
    <row r="182">
      <c r="L182" s="18" t="n"/>
      <c r="M182" s="18" t="n"/>
    </row>
    <row r="183">
      <c r="L183" s="18" t="n"/>
      <c r="M183" s="18" t="n"/>
    </row>
    <row r="184">
      <c r="L184" s="18" t="n"/>
      <c r="M184" s="18" t="n"/>
    </row>
    <row r="185">
      <c r="L185" s="18" t="n"/>
      <c r="M185" s="18" t="n"/>
    </row>
    <row r="186">
      <c r="L186" s="18" t="n"/>
      <c r="M186" s="18" t="n"/>
    </row>
    <row r="187">
      <c r="L187" s="18" t="n"/>
      <c r="M187" s="18" t="n"/>
    </row>
    <row r="188">
      <c r="L188" s="18" t="n"/>
      <c r="M188" s="18" t="n"/>
    </row>
    <row r="189">
      <c r="L189" s="18" t="n"/>
      <c r="M189" s="18" t="n"/>
    </row>
    <row r="190">
      <c r="L190" s="18" t="n"/>
      <c r="M190" s="18" t="n"/>
    </row>
    <row r="191">
      <c r="L191" s="18" t="n"/>
      <c r="M191" s="18" t="n"/>
    </row>
    <row r="192">
      <c r="L192" s="18" t="n"/>
      <c r="M192" s="18" t="n"/>
    </row>
    <row r="193">
      <c r="L193" s="18" t="n"/>
      <c r="M193" s="18" t="n"/>
    </row>
    <row r="194">
      <c r="L194" s="18" t="n"/>
      <c r="M194" s="18" t="n"/>
    </row>
    <row r="195">
      <c r="L195" s="18" t="n"/>
      <c r="M195" s="18" t="n"/>
    </row>
    <row r="196">
      <c r="L196" s="18" t="n"/>
      <c r="M196" s="18" t="n"/>
    </row>
    <row r="197">
      <c r="L197" s="18" t="n"/>
      <c r="M197" s="18" t="n"/>
    </row>
    <row r="198">
      <c r="L198" s="18" t="n"/>
      <c r="M198" s="18" t="n"/>
    </row>
    <row r="199">
      <c r="L199" s="18" t="n"/>
      <c r="M199" s="18" t="n"/>
    </row>
    <row r="200">
      <c r="L200" s="18" t="n"/>
      <c r="M200" s="18" t="n"/>
    </row>
    <row r="201">
      <c r="L201" s="18" t="n"/>
      <c r="M201" s="18" t="n"/>
    </row>
    <row r="202">
      <c r="L202" s="18" t="n"/>
      <c r="M202" s="18" t="n"/>
    </row>
    <row r="203">
      <c r="L203" s="18" t="n"/>
      <c r="M203" s="18" t="n"/>
    </row>
    <row r="204">
      <c r="L204" s="18" t="n"/>
      <c r="M204" s="18" t="n"/>
    </row>
    <row r="205">
      <c r="L205" s="18" t="n"/>
      <c r="M205" s="18" t="n"/>
    </row>
    <row r="206">
      <c r="L206" s="18" t="n"/>
      <c r="M206" s="18" t="n"/>
    </row>
    <row r="207">
      <c r="L207" s="18" t="n"/>
      <c r="M207" s="18" t="n"/>
    </row>
    <row r="208">
      <c r="L208" s="18" t="n"/>
      <c r="M208" s="18" t="n"/>
    </row>
    <row r="209">
      <c r="L209" s="18" t="n"/>
      <c r="M209" s="18" t="n"/>
    </row>
    <row r="210">
      <c r="L210" s="18" t="n"/>
      <c r="M210" s="18" t="n"/>
    </row>
    <row r="211">
      <c r="L211" s="18" t="n"/>
      <c r="M211" s="18" t="n"/>
    </row>
    <row r="212">
      <c r="L212" s="18" t="n"/>
      <c r="M212" s="18" t="n"/>
    </row>
    <row r="213">
      <c r="L213" s="18" t="n"/>
      <c r="M213" s="18" t="n"/>
    </row>
    <row r="214">
      <c r="L214" s="18" t="n"/>
      <c r="M214" s="18" t="n"/>
    </row>
    <row r="215">
      <c r="L215" s="18" t="n"/>
      <c r="M215" s="18" t="n"/>
    </row>
    <row r="216">
      <c r="L216" s="18" t="n"/>
      <c r="M216" s="18" t="n"/>
    </row>
    <row r="217">
      <c r="L217" s="18" t="n"/>
      <c r="M217" s="18" t="n"/>
    </row>
    <row r="218">
      <c r="L218" s="18" t="n"/>
      <c r="M218" s="18" t="n"/>
    </row>
    <row r="219">
      <c r="L219" s="18" t="n"/>
      <c r="M219" s="18" t="n"/>
    </row>
    <row r="220">
      <c r="L220" s="18" t="n"/>
      <c r="M220" s="18" t="n"/>
    </row>
    <row r="221">
      <c r="L221" s="18" t="n"/>
      <c r="M221" s="18" t="n"/>
    </row>
    <row r="222">
      <c r="L222" s="18" t="n"/>
      <c r="M222" s="18" t="n"/>
    </row>
    <row r="223">
      <c r="L223" s="18" t="n"/>
      <c r="M223" s="18" t="n"/>
    </row>
    <row r="224">
      <c r="L224" s="18" t="n"/>
      <c r="M224" s="18" t="n"/>
    </row>
    <row r="225">
      <c r="L225" s="18" t="n"/>
      <c r="M225" s="18" t="n"/>
    </row>
    <row r="226">
      <c r="L226" s="18" t="n"/>
      <c r="M226" s="18" t="n"/>
    </row>
    <row r="227">
      <c r="L227" s="18" t="n"/>
      <c r="M227" s="18" t="n"/>
    </row>
    <row r="228">
      <c r="L228" s="18" t="n"/>
      <c r="M228" s="18" t="n"/>
    </row>
    <row r="229">
      <c r="L229" s="18" t="n"/>
      <c r="M229" s="18" t="n"/>
    </row>
    <row r="230">
      <c r="L230" s="18" t="n"/>
      <c r="M230" s="18" t="n"/>
    </row>
    <row r="231">
      <c r="L231" s="18" t="n"/>
      <c r="M231" s="18" t="n"/>
    </row>
    <row r="232">
      <c r="L232" s="18" t="n"/>
      <c r="M232" s="18" t="n"/>
    </row>
    <row r="233">
      <c r="L233" s="18" t="n"/>
      <c r="M233" s="18" t="n"/>
    </row>
    <row r="234">
      <c r="L234" s="18" t="n"/>
      <c r="M234" s="18" t="n"/>
    </row>
    <row r="235">
      <c r="L235" s="18" t="n"/>
      <c r="M235" s="18" t="n"/>
    </row>
    <row r="236">
      <c r="L236" s="18" t="n"/>
      <c r="M236" s="18" t="n"/>
    </row>
    <row r="237">
      <c r="L237" s="18" t="n"/>
      <c r="M237" s="18" t="n"/>
    </row>
    <row r="238">
      <c r="L238" s="18" t="n"/>
      <c r="M238" s="18" t="n"/>
    </row>
    <row r="239">
      <c r="L239" s="18" t="n"/>
      <c r="M239" s="18" t="n"/>
    </row>
    <row r="240">
      <c r="L240" s="18" t="n"/>
      <c r="M240" s="18" t="n"/>
    </row>
    <row r="241">
      <c r="L241" s="18" t="n"/>
      <c r="M241" s="18" t="n"/>
    </row>
    <row r="242">
      <c r="L242" s="18" t="n"/>
      <c r="M242" s="18" t="n"/>
    </row>
    <row r="243">
      <c r="L243" s="18" t="n"/>
      <c r="M243" s="18" t="n"/>
    </row>
    <row r="244">
      <c r="L244" s="18" t="n"/>
      <c r="M244" s="18" t="n"/>
    </row>
    <row r="245">
      <c r="L245" s="18" t="n"/>
      <c r="M245" s="18" t="n"/>
    </row>
    <row r="246">
      <c r="L246" s="18" t="n"/>
      <c r="M246" s="18" t="n"/>
    </row>
    <row r="247">
      <c r="L247" s="18" t="n"/>
      <c r="M247" s="18" t="n"/>
    </row>
    <row r="248">
      <c r="L248" s="18" t="n"/>
      <c r="M248" s="18" t="n"/>
    </row>
    <row r="249">
      <c r="L249" s="18" t="n"/>
      <c r="M249" s="18" t="n"/>
    </row>
    <row r="250">
      <c r="L250" s="18" t="n"/>
      <c r="M250" s="18" t="n"/>
    </row>
    <row r="251">
      <c r="L251" s="18" t="n"/>
      <c r="M251" s="18" t="n"/>
    </row>
    <row r="252">
      <c r="L252" s="18" t="n"/>
      <c r="M252" s="18" t="n"/>
    </row>
    <row r="253">
      <c r="L253" s="18" t="n"/>
      <c r="M253" s="18" t="n"/>
    </row>
    <row r="254">
      <c r="L254" s="18" t="n"/>
      <c r="M254" s="18" t="n"/>
    </row>
    <row r="255">
      <c r="L255" s="18" t="n"/>
      <c r="M255" s="18" t="n"/>
    </row>
    <row r="256">
      <c r="L256" s="18" t="n"/>
      <c r="M256" s="18" t="n"/>
    </row>
    <row r="257">
      <c r="L257" s="18" t="n"/>
      <c r="M257" s="18" t="n"/>
    </row>
    <row r="258">
      <c r="L258" s="18" t="n"/>
      <c r="M258" s="18" t="n"/>
    </row>
    <row r="259">
      <c r="L259" s="18" t="n"/>
      <c r="M259" s="18" t="n"/>
    </row>
    <row r="260">
      <c r="L260" s="18" t="n"/>
      <c r="M260" s="18" t="n"/>
    </row>
    <row r="261">
      <c r="L261" s="18" t="n"/>
      <c r="M261" s="18" t="n"/>
    </row>
    <row r="262">
      <c r="L262" s="18" t="n"/>
      <c r="M262" s="18" t="n"/>
    </row>
    <row r="263">
      <c r="L263" s="18" t="n"/>
      <c r="M263" s="18" t="n"/>
    </row>
    <row r="264">
      <c r="L264" s="18" t="n"/>
      <c r="M264" s="18" t="n"/>
    </row>
    <row r="265">
      <c r="L265" s="18" t="n"/>
      <c r="M265" s="18" t="n"/>
    </row>
    <row r="266">
      <c r="L266" s="18" t="n"/>
      <c r="M266" s="18" t="n"/>
    </row>
    <row r="267">
      <c r="L267" s="18" t="n"/>
      <c r="M267" s="18" t="n"/>
    </row>
    <row r="268">
      <c r="L268" s="18" t="n"/>
      <c r="M268" s="18" t="n"/>
    </row>
    <row r="269">
      <c r="L269" s="18" t="n"/>
      <c r="M269" s="18" t="n"/>
    </row>
    <row r="270">
      <c r="L270" s="18" t="n"/>
      <c r="M270" s="18" t="n"/>
    </row>
    <row r="271">
      <c r="L271" s="18" t="n"/>
      <c r="M271" s="18" t="n"/>
    </row>
    <row r="272">
      <c r="L272" s="18" t="n"/>
      <c r="M272" s="18" t="n"/>
    </row>
    <row r="273">
      <c r="L273" s="18" t="n"/>
      <c r="M273" s="18" t="n"/>
    </row>
    <row r="274">
      <c r="L274" s="18" t="n"/>
      <c r="M274" s="18" t="n"/>
    </row>
    <row r="275">
      <c r="L275" s="18" t="n"/>
      <c r="M275" s="18" t="n"/>
    </row>
    <row r="276">
      <c r="L276" s="18" t="n"/>
      <c r="M276" s="18" t="n"/>
    </row>
    <row r="277">
      <c r="L277" s="18" t="n"/>
      <c r="M277" s="18" t="n"/>
    </row>
    <row r="278">
      <c r="L278" s="18" t="n"/>
      <c r="M278" s="18" t="n"/>
    </row>
    <row r="279">
      <c r="L279" s="18" t="n"/>
      <c r="M279" s="18" t="n"/>
    </row>
    <row r="280">
      <c r="L280" s="18" t="n"/>
      <c r="M280" s="18" t="n"/>
    </row>
    <row r="281">
      <c r="L281" s="18" t="n"/>
      <c r="M281" s="18" t="n"/>
    </row>
    <row r="282">
      <c r="L282" s="18" t="n"/>
      <c r="M282" s="18" t="n"/>
    </row>
    <row r="283">
      <c r="L283" s="18" t="n"/>
      <c r="M283" s="18" t="n"/>
    </row>
    <row r="284">
      <c r="L284" s="18" t="n"/>
      <c r="M284" s="18" t="n"/>
    </row>
    <row r="285">
      <c r="L285" s="18" t="n"/>
      <c r="M285" s="18" t="n"/>
    </row>
    <row r="286">
      <c r="L286" s="18" t="n"/>
      <c r="M286" s="18" t="n"/>
    </row>
    <row r="287">
      <c r="L287" s="18" t="n"/>
      <c r="M287" s="18" t="n"/>
    </row>
    <row r="288">
      <c r="L288" s="18" t="n"/>
      <c r="M288" s="18" t="n"/>
    </row>
    <row r="289">
      <c r="L289" s="18" t="n"/>
      <c r="M289" s="18" t="n"/>
    </row>
    <row r="290">
      <c r="L290" s="18" t="n"/>
      <c r="M290" s="18" t="n"/>
    </row>
    <row r="291">
      <c r="L291" s="18" t="n"/>
      <c r="M291" s="18" t="n"/>
    </row>
    <row r="292">
      <c r="L292" s="18" t="n"/>
      <c r="M292" s="18" t="n"/>
    </row>
    <row r="293">
      <c r="L293" s="18" t="n"/>
      <c r="M293" s="18" t="n"/>
    </row>
    <row r="294">
      <c r="L294" s="18" t="n"/>
      <c r="M294" s="18" t="n"/>
    </row>
    <row r="295">
      <c r="L295" s="18" t="n"/>
      <c r="M295" s="18" t="n"/>
    </row>
    <row r="296">
      <c r="L296" s="18" t="n"/>
      <c r="M296" s="18" t="n"/>
    </row>
    <row r="297">
      <c r="L297" s="18" t="n"/>
      <c r="M297" s="18" t="n"/>
    </row>
    <row r="298">
      <c r="L298" s="18" t="n"/>
      <c r="M298" s="18" t="n"/>
    </row>
    <row r="299">
      <c r="L299" s="18" t="n"/>
      <c r="M299" s="18" t="n"/>
    </row>
    <row r="300">
      <c r="L300" s="18" t="n"/>
      <c r="M300" s="18" t="n"/>
    </row>
    <row r="301">
      <c r="L301" s="18" t="n"/>
      <c r="M301" s="18" t="n"/>
    </row>
    <row r="302">
      <c r="L302" s="18" t="n"/>
      <c r="M302" s="18" t="n"/>
    </row>
    <row r="303">
      <c r="L303" s="18" t="n"/>
      <c r="M303" s="18" t="n"/>
    </row>
    <row r="304">
      <c r="L304" s="18" t="n"/>
      <c r="M304" s="18" t="n"/>
    </row>
    <row r="305">
      <c r="L305" s="18" t="n"/>
      <c r="M305" s="18" t="n"/>
    </row>
    <row r="306">
      <c r="L306" s="18" t="n"/>
      <c r="M306" s="18" t="n"/>
    </row>
    <row r="307">
      <c r="L307" s="18" t="n"/>
      <c r="M307" s="18" t="n"/>
    </row>
    <row r="308">
      <c r="L308" s="18" t="n"/>
      <c r="M308" s="18" t="n"/>
    </row>
    <row r="309">
      <c r="L309" s="18" t="n"/>
      <c r="M309" s="18" t="n"/>
    </row>
    <row r="310">
      <c r="L310" s="18" t="n"/>
      <c r="M310" s="18" t="n"/>
    </row>
    <row r="311">
      <c r="L311" s="18" t="n"/>
      <c r="M311" s="18" t="n"/>
    </row>
    <row r="312">
      <c r="L312" s="18" t="n"/>
      <c r="M312" s="18" t="n"/>
    </row>
    <row r="313">
      <c r="L313" s="18" t="n"/>
      <c r="M313" s="18" t="n"/>
    </row>
    <row r="314">
      <c r="L314" s="18" t="n"/>
      <c r="M314" s="18" t="n"/>
    </row>
    <row r="315">
      <c r="L315" s="18" t="n"/>
      <c r="M315" s="18" t="n"/>
    </row>
    <row r="316">
      <c r="L316" s="18" t="n"/>
      <c r="M316" s="18" t="n"/>
    </row>
    <row r="317">
      <c r="L317" s="18" t="n"/>
      <c r="M317" s="18" t="n"/>
    </row>
    <row r="318">
      <c r="L318" s="18" t="n"/>
      <c r="M318" s="18" t="n"/>
    </row>
    <row r="319">
      <c r="L319" s="18" t="n"/>
      <c r="M319" s="18" t="n"/>
    </row>
    <row r="320">
      <c r="L320" s="18" t="n"/>
      <c r="M320" s="18" t="n"/>
    </row>
    <row r="321">
      <c r="L321" s="18" t="n"/>
      <c r="M321" s="18" t="n"/>
    </row>
    <row r="322">
      <c r="L322" s="18" t="n"/>
      <c r="M322" s="18" t="n"/>
    </row>
    <row r="323">
      <c r="L323" s="18" t="n"/>
      <c r="M323" s="18" t="n"/>
    </row>
    <row r="324">
      <c r="L324" s="18" t="n"/>
      <c r="M324" s="18" t="n"/>
    </row>
    <row r="325">
      <c r="L325" s="18" t="n"/>
      <c r="M325" s="18" t="n"/>
    </row>
    <row r="326">
      <c r="L326" s="18" t="n"/>
      <c r="M326" s="18" t="n"/>
    </row>
    <row r="327">
      <c r="L327" s="18" t="n"/>
      <c r="M327" s="18" t="n"/>
    </row>
    <row r="328">
      <c r="L328" s="18" t="n"/>
      <c r="M328" s="18" t="n"/>
    </row>
    <row r="329">
      <c r="L329" s="18" t="n"/>
      <c r="M329" s="18" t="n"/>
    </row>
    <row r="330">
      <c r="L330" s="18" t="n"/>
      <c r="M330" s="18" t="n"/>
    </row>
    <row r="331">
      <c r="L331" s="18" t="n"/>
      <c r="M331" s="18" t="n"/>
    </row>
    <row r="332">
      <c r="L332" s="18" t="n"/>
      <c r="M332" s="18" t="n"/>
    </row>
    <row r="333">
      <c r="L333" s="18" t="n"/>
      <c r="M333" s="18" t="n"/>
    </row>
    <row r="334">
      <c r="L334" s="18" t="n"/>
      <c r="M334" s="18" t="n"/>
    </row>
    <row r="335">
      <c r="L335" s="18" t="n"/>
      <c r="M335" s="18" t="n"/>
    </row>
    <row r="336">
      <c r="L336" s="18" t="n"/>
      <c r="M336" s="18" t="n"/>
    </row>
    <row r="337">
      <c r="L337" s="18" t="n"/>
      <c r="M337" s="18" t="n"/>
    </row>
    <row r="338">
      <c r="L338" s="18" t="n"/>
      <c r="M338" s="18" t="n"/>
    </row>
    <row r="339">
      <c r="L339" s="18" t="n"/>
      <c r="M339" s="18" t="n"/>
    </row>
    <row r="340">
      <c r="L340" s="18" t="n"/>
      <c r="M340" s="18" t="n"/>
    </row>
    <row r="341">
      <c r="L341" s="18" t="n"/>
      <c r="M341" s="18" t="n"/>
    </row>
    <row r="342">
      <c r="L342" s="18" t="n"/>
      <c r="M342" s="18" t="n"/>
    </row>
    <row r="343">
      <c r="L343" s="18" t="n"/>
      <c r="M343" s="18" t="n"/>
    </row>
    <row r="344">
      <c r="L344" s="18" t="n"/>
      <c r="M344" s="18" t="n"/>
    </row>
    <row r="345">
      <c r="L345" s="18" t="n"/>
      <c r="M345" s="18" t="n"/>
    </row>
    <row r="346">
      <c r="L346" s="18" t="n"/>
      <c r="M346" s="18" t="n"/>
    </row>
    <row r="347">
      <c r="L347" s="18" t="n"/>
      <c r="M347" s="18" t="n"/>
    </row>
    <row r="348">
      <c r="L348" s="18" t="n"/>
      <c r="M348" s="18" t="n"/>
    </row>
    <row r="349">
      <c r="L349" s="18" t="n"/>
      <c r="M349" s="18" t="n"/>
    </row>
    <row r="350">
      <c r="L350" s="18" t="n"/>
      <c r="M350" s="18" t="n"/>
    </row>
    <row r="351">
      <c r="L351" s="18" t="n"/>
      <c r="M351" s="18" t="n"/>
    </row>
    <row r="352">
      <c r="L352" s="18" t="n"/>
      <c r="M352" s="18" t="n"/>
    </row>
    <row r="353">
      <c r="L353" s="18" t="n"/>
      <c r="M353" s="18" t="n"/>
    </row>
    <row r="354">
      <c r="L354" s="18" t="n"/>
      <c r="M354" s="18" t="n"/>
    </row>
    <row r="355">
      <c r="L355" s="18" t="n"/>
      <c r="M355" s="18" t="n"/>
    </row>
    <row r="356">
      <c r="L356" s="18" t="n"/>
      <c r="M356" s="18" t="n"/>
    </row>
    <row r="357">
      <c r="L357" s="18" t="n"/>
      <c r="M357" s="18" t="n"/>
    </row>
    <row r="358">
      <c r="L358" s="18" t="n"/>
      <c r="M358" s="18" t="n"/>
    </row>
    <row r="359">
      <c r="L359" s="18" t="n"/>
      <c r="M359" s="18" t="n"/>
    </row>
    <row r="360">
      <c r="L360" s="18" t="n"/>
      <c r="M360" s="18" t="n"/>
    </row>
    <row r="361">
      <c r="L361" s="18" t="n"/>
      <c r="M361" s="18" t="n"/>
    </row>
    <row r="362">
      <c r="L362" s="18" t="n"/>
      <c r="M362" s="18" t="n"/>
    </row>
    <row r="363">
      <c r="L363" s="18" t="n"/>
      <c r="M363" s="18" t="n"/>
    </row>
    <row r="364">
      <c r="L364" s="18" t="n"/>
      <c r="M364" s="18" t="n"/>
    </row>
    <row r="365">
      <c r="L365" s="18" t="n"/>
      <c r="M365" s="18" t="n"/>
    </row>
    <row r="366">
      <c r="L366" s="18" t="n"/>
      <c r="M366" s="18" t="n"/>
    </row>
    <row r="367">
      <c r="L367" s="18" t="n"/>
      <c r="M367" s="18" t="n"/>
    </row>
    <row r="368">
      <c r="L368" s="18" t="n"/>
      <c r="M368" s="18" t="n"/>
    </row>
    <row r="369">
      <c r="L369" s="18" t="n"/>
      <c r="M369" s="18" t="n"/>
    </row>
    <row r="370">
      <c r="L370" s="18" t="n"/>
      <c r="M370" s="18" t="n"/>
    </row>
    <row r="371">
      <c r="L371" s="18" t="n"/>
      <c r="M371" s="18" t="n"/>
    </row>
    <row r="372">
      <c r="L372" s="18" t="n"/>
      <c r="M372" s="18" t="n"/>
    </row>
    <row r="373">
      <c r="L373" s="18" t="n"/>
      <c r="M373" s="18" t="n"/>
    </row>
    <row r="374">
      <c r="L374" s="18" t="n"/>
      <c r="M374" s="18" t="n"/>
    </row>
    <row r="375">
      <c r="L375" s="18" t="n"/>
      <c r="M375" s="18" t="n"/>
    </row>
    <row r="376">
      <c r="L376" s="18" t="n"/>
      <c r="M376" s="18" t="n"/>
    </row>
    <row r="377">
      <c r="L377" s="18" t="n"/>
      <c r="M377" s="18" t="n"/>
    </row>
    <row r="378">
      <c r="L378" s="18" t="n"/>
      <c r="M378" s="18" t="n"/>
    </row>
    <row r="379">
      <c r="L379" s="18" t="n"/>
      <c r="M379" s="18" t="n"/>
    </row>
    <row r="380">
      <c r="L380" s="18" t="n"/>
      <c r="M380" s="18" t="n"/>
    </row>
    <row r="381">
      <c r="L381" s="18" t="n"/>
      <c r="M381" s="18" t="n"/>
    </row>
    <row r="382">
      <c r="L382" s="18" t="n"/>
      <c r="M382" s="18" t="n"/>
    </row>
    <row r="383">
      <c r="L383" s="18" t="n"/>
      <c r="M383" s="18" t="n"/>
    </row>
    <row r="384">
      <c r="L384" s="18" t="n"/>
      <c r="M384" s="18" t="n"/>
    </row>
    <row r="385">
      <c r="L385" s="18" t="n"/>
      <c r="M385" s="18" t="n"/>
    </row>
    <row r="386">
      <c r="L386" s="18" t="n"/>
      <c r="M386" s="18" t="n"/>
    </row>
    <row r="387">
      <c r="L387" s="18" t="n"/>
      <c r="M387" s="18" t="n"/>
    </row>
    <row r="388">
      <c r="L388" s="18" t="n"/>
      <c r="M388" s="18" t="n"/>
    </row>
    <row r="389">
      <c r="L389" s="18" t="n"/>
      <c r="M389" s="18" t="n"/>
    </row>
    <row r="390">
      <c r="L390" s="18" t="n"/>
      <c r="M390" s="18" t="n"/>
    </row>
    <row r="391">
      <c r="L391" s="18" t="n"/>
      <c r="M391" s="18" t="n"/>
    </row>
    <row r="392">
      <c r="L392" s="18" t="n"/>
      <c r="M392" s="18" t="n"/>
    </row>
    <row r="393">
      <c r="L393" s="18" t="n"/>
      <c r="M393" s="18" t="n"/>
    </row>
    <row r="394">
      <c r="L394" s="18" t="n"/>
      <c r="M394" s="18" t="n"/>
    </row>
    <row r="395">
      <c r="L395" s="18" t="n"/>
      <c r="M395" s="18" t="n"/>
    </row>
    <row r="396">
      <c r="L396" s="18" t="n"/>
      <c r="M396" s="18" t="n"/>
    </row>
    <row r="397">
      <c r="L397" s="18" t="n"/>
      <c r="M397" s="18" t="n"/>
    </row>
    <row r="398">
      <c r="L398" s="18" t="n"/>
      <c r="M398" s="18" t="n"/>
    </row>
    <row r="399">
      <c r="L399" s="18" t="n"/>
      <c r="M399" s="18" t="n"/>
    </row>
    <row r="400">
      <c r="L400" s="18" t="n"/>
      <c r="M400" s="18" t="n"/>
    </row>
    <row r="401">
      <c r="L401" s="18" t="n"/>
      <c r="M401" s="18" t="n"/>
    </row>
    <row r="402">
      <c r="L402" s="18" t="n"/>
      <c r="M402" s="18" t="n"/>
    </row>
    <row r="403">
      <c r="L403" s="18" t="n"/>
      <c r="M403" s="18" t="n"/>
    </row>
    <row r="404">
      <c r="L404" s="18" t="n"/>
      <c r="M404" s="18" t="n"/>
    </row>
    <row r="405">
      <c r="L405" s="18" t="n"/>
      <c r="M405" s="18" t="n"/>
    </row>
    <row r="406">
      <c r="L406" s="18" t="n"/>
      <c r="M406" s="18" t="n"/>
    </row>
    <row r="407">
      <c r="L407" s="18" t="n"/>
      <c r="M407" s="18" t="n"/>
    </row>
    <row r="408">
      <c r="L408" s="18" t="n"/>
      <c r="M408" s="18" t="n"/>
    </row>
    <row r="409">
      <c r="L409" s="18" t="n"/>
      <c r="M409" s="18" t="n"/>
    </row>
    <row r="410">
      <c r="L410" s="18" t="n"/>
      <c r="M410" s="18" t="n"/>
    </row>
    <row r="411">
      <c r="L411" s="18" t="n"/>
      <c r="M411" s="18" t="n"/>
    </row>
    <row r="412">
      <c r="L412" s="18" t="n"/>
      <c r="M412" s="18" t="n"/>
    </row>
    <row r="413">
      <c r="L413" s="18" t="n"/>
      <c r="M413" s="18" t="n"/>
    </row>
    <row r="414">
      <c r="L414" s="18" t="n"/>
      <c r="M414" s="18" t="n"/>
    </row>
    <row r="415">
      <c r="L415" s="18" t="n"/>
      <c r="M415" s="18" t="n"/>
    </row>
    <row r="416">
      <c r="L416" s="18" t="n"/>
      <c r="M416" s="18" t="n"/>
    </row>
    <row r="417">
      <c r="L417" s="18" t="n"/>
      <c r="M417" s="18" t="n"/>
    </row>
    <row r="418">
      <c r="L418" s="18" t="n"/>
      <c r="M418" s="18" t="n"/>
    </row>
    <row r="419">
      <c r="L419" s="18" t="n"/>
      <c r="M419" s="18" t="n"/>
    </row>
    <row r="420">
      <c r="L420" s="18" t="n"/>
      <c r="M420" s="18" t="n"/>
    </row>
    <row r="421">
      <c r="L421" s="18" t="n"/>
      <c r="M421" s="18" t="n"/>
    </row>
    <row r="422">
      <c r="L422" s="18" t="n"/>
      <c r="M422" s="18" t="n"/>
    </row>
    <row r="423">
      <c r="L423" s="18" t="n"/>
      <c r="M423" s="18" t="n"/>
    </row>
    <row r="424">
      <c r="L424" s="18" t="n"/>
      <c r="M424" s="18" t="n"/>
    </row>
    <row r="425">
      <c r="L425" s="18" t="n"/>
      <c r="M425" s="18" t="n"/>
    </row>
    <row r="426">
      <c r="L426" s="18" t="n"/>
      <c r="M426" s="18" t="n"/>
    </row>
    <row r="427">
      <c r="L427" s="18" t="n"/>
      <c r="M427" s="18" t="n"/>
    </row>
    <row r="428">
      <c r="L428" s="18" t="n"/>
      <c r="M428" s="18" t="n"/>
    </row>
    <row r="429">
      <c r="L429" s="18" t="n"/>
      <c r="M429" s="18" t="n"/>
    </row>
    <row r="430">
      <c r="L430" s="18" t="n"/>
      <c r="M430" s="18" t="n"/>
    </row>
    <row r="431">
      <c r="L431" s="18" t="n"/>
      <c r="M431" s="18" t="n"/>
    </row>
    <row r="432">
      <c r="L432" s="18" t="n"/>
      <c r="M432" s="18" t="n"/>
    </row>
    <row r="433">
      <c r="L433" s="18" t="n"/>
      <c r="M433" s="18" t="n"/>
    </row>
    <row r="434">
      <c r="L434" s="18" t="n"/>
      <c r="M434" s="18" t="n"/>
    </row>
    <row r="435">
      <c r="L435" s="18" t="n"/>
      <c r="M435" s="18" t="n"/>
    </row>
    <row r="436">
      <c r="L436" s="18" t="n"/>
      <c r="M436" s="18" t="n"/>
    </row>
    <row r="437">
      <c r="L437" s="18" t="n"/>
      <c r="M437" s="18" t="n"/>
    </row>
    <row r="438">
      <c r="L438" s="18" t="n"/>
      <c r="M438" s="18" t="n"/>
    </row>
    <row r="439">
      <c r="L439" s="18" t="n"/>
      <c r="M439" s="18" t="n"/>
    </row>
    <row r="440">
      <c r="L440" s="18" t="n"/>
      <c r="M440" s="18" t="n"/>
    </row>
    <row r="441">
      <c r="L441" s="18" t="n"/>
      <c r="M441" s="18" t="n"/>
    </row>
    <row r="442">
      <c r="L442" s="18" t="n"/>
      <c r="M442" s="18" t="n"/>
    </row>
    <row r="443">
      <c r="L443" s="18" t="n"/>
      <c r="M443" s="18" t="n"/>
    </row>
    <row r="444">
      <c r="L444" s="18" t="n"/>
      <c r="M444" s="18" t="n"/>
    </row>
    <row r="445">
      <c r="L445" s="18" t="n"/>
      <c r="M445" s="18" t="n"/>
    </row>
    <row r="446">
      <c r="L446" s="18" t="n"/>
      <c r="M446" s="18" t="n"/>
    </row>
    <row r="447">
      <c r="L447" s="18" t="n"/>
      <c r="M447" s="18" t="n"/>
    </row>
    <row r="448">
      <c r="L448" s="18" t="n"/>
      <c r="M448" s="18" t="n"/>
    </row>
    <row r="449">
      <c r="L449" s="18" t="n"/>
      <c r="M449" s="18" t="n"/>
    </row>
    <row r="450">
      <c r="L450" s="18" t="n"/>
      <c r="M450" s="18" t="n"/>
    </row>
    <row r="451">
      <c r="L451" s="18" t="n"/>
      <c r="M451" s="18" t="n"/>
    </row>
    <row r="452">
      <c r="L452" s="18" t="n"/>
      <c r="M452" s="18" t="n"/>
    </row>
    <row r="453">
      <c r="L453" s="18" t="n"/>
      <c r="M453" s="18" t="n"/>
    </row>
    <row r="454">
      <c r="L454" s="18" t="n"/>
      <c r="M454" s="18" t="n"/>
    </row>
    <row r="455">
      <c r="L455" s="18" t="n"/>
      <c r="M455" s="18" t="n"/>
    </row>
    <row r="456">
      <c r="L456" s="18" t="n"/>
      <c r="M456" s="18" t="n"/>
    </row>
    <row r="457">
      <c r="L457" s="18" t="n"/>
      <c r="M457" s="18" t="n"/>
    </row>
    <row r="458">
      <c r="L458" s="18" t="n"/>
      <c r="M458" s="18" t="n"/>
    </row>
    <row r="459">
      <c r="L459" s="18" t="n"/>
      <c r="M459" s="18" t="n"/>
    </row>
    <row r="460">
      <c r="L460" s="18" t="n"/>
      <c r="M460" s="18" t="n"/>
    </row>
    <row r="461">
      <c r="L461" s="18" t="n"/>
      <c r="M461" s="18" t="n"/>
    </row>
    <row r="462">
      <c r="L462" s="18" t="n"/>
      <c r="M462" s="18" t="n"/>
    </row>
    <row r="463">
      <c r="L463" s="18" t="n"/>
      <c r="M463" s="18" t="n"/>
    </row>
    <row r="464">
      <c r="L464" s="18" t="n"/>
      <c r="M464" s="18" t="n"/>
    </row>
    <row r="465">
      <c r="L465" s="18" t="n"/>
      <c r="M465" s="18" t="n"/>
    </row>
    <row r="466">
      <c r="L466" s="18" t="n"/>
      <c r="M466" s="18" t="n"/>
    </row>
    <row r="467">
      <c r="L467" s="18" t="n"/>
      <c r="M467" s="18" t="n"/>
    </row>
    <row r="468">
      <c r="L468" s="18" t="n"/>
      <c r="M468" s="18" t="n"/>
    </row>
    <row r="469">
      <c r="L469" s="18" t="n"/>
      <c r="M469" s="18" t="n"/>
    </row>
    <row r="470">
      <c r="L470" s="18" t="n"/>
      <c r="M470" s="18" t="n"/>
    </row>
    <row r="471">
      <c r="L471" s="18" t="n"/>
      <c r="M471" s="18" t="n"/>
    </row>
    <row r="472">
      <c r="L472" s="18" t="n"/>
      <c r="M472" s="18" t="n"/>
    </row>
    <row r="473">
      <c r="L473" s="18" t="n"/>
      <c r="M473" s="18" t="n"/>
    </row>
    <row r="474">
      <c r="L474" s="18" t="n"/>
      <c r="M474" s="18" t="n"/>
    </row>
    <row r="475">
      <c r="L475" s="18" t="n"/>
      <c r="M475" s="18" t="n"/>
    </row>
    <row r="476">
      <c r="L476" s="18" t="n"/>
      <c r="M476" s="18" t="n"/>
    </row>
    <row r="477">
      <c r="L477" s="18" t="n"/>
      <c r="M477" s="18" t="n"/>
    </row>
    <row r="478">
      <c r="L478" s="18" t="n"/>
      <c r="M478" s="18" t="n"/>
    </row>
    <row r="479">
      <c r="L479" s="18" t="n"/>
      <c r="M479" s="18" t="n"/>
    </row>
    <row r="480">
      <c r="L480" s="18" t="n"/>
      <c r="M480" s="18" t="n"/>
    </row>
    <row r="481">
      <c r="L481" s="18" t="n"/>
      <c r="M481" s="18" t="n"/>
    </row>
    <row r="482">
      <c r="L482" s="18" t="n"/>
      <c r="M482" s="18" t="n"/>
    </row>
    <row r="483">
      <c r="L483" s="18" t="n"/>
      <c r="M483" s="18" t="n"/>
    </row>
    <row r="484">
      <c r="L484" s="18" t="n"/>
      <c r="M484" s="18" t="n"/>
    </row>
    <row r="485">
      <c r="L485" s="18" t="n"/>
      <c r="M485" s="18" t="n"/>
    </row>
    <row r="486">
      <c r="L486" s="18" t="n"/>
      <c r="M486" s="18" t="n"/>
    </row>
    <row r="487">
      <c r="L487" s="18" t="n"/>
      <c r="M487" s="18" t="n"/>
    </row>
    <row r="488">
      <c r="L488" s="18" t="n"/>
      <c r="M488" s="18" t="n"/>
    </row>
    <row r="489">
      <c r="L489" s="18" t="n"/>
      <c r="M489" s="18" t="n"/>
    </row>
    <row r="490">
      <c r="L490" s="18" t="n"/>
      <c r="M490" s="18" t="n"/>
    </row>
    <row r="491">
      <c r="L491" s="18" t="n"/>
      <c r="M491" s="18" t="n"/>
    </row>
    <row r="492">
      <c r="L492" s="18" t="n"/>
      <c r="M492" s="18" t="n"/>
    </row>
    <row r="493">
      <c r="L493" s="18" t="n"/>
      <c r="M493" s="18" t="n"/>
    </row>
    <row r="494">
      <c r="L494" s="18" t="n"/>
      <c r="M494" s="18" t="n"/>
    </row>
    <row r="495">
      <c r="L495" s="18" t="n"/>
      <c r="M495" s="18" t="n"/>
    </row>
    <row r="496">
      <c r="L496" s="18" t="n"/>
      <c r="M496" s="18" t="n"/>
    </row>
    <row r="497">
      <c r="L497" s="18" t="n"/>
      <c r="M497" s="18" t="n"/>
    </row>
    <row r="498">
      <c r="L498" s="18" t="n"/>
      <c r="M498" s="18" t="n"/>
    </row>
    <row r="499">
      <c r="L499" s="18" t="n"/>
      <c r="M499" s="18" t="n"/>
    </row>
    <row r="500">
      <c r="L500" s="18" t="n"/>
      <c r="M500" s="18" t="n"/>
    </row>
  </sheetData>
  <autoFilter ref="A4:Q19"/>
  <dataValidations count="1">
    <dataValidation sqref="J6:J500" showDropDown="0" showInputMessage="0" showErrorMessage="1" allowBlank="1" errorTitle="Status" error="Use one of: planned, backlog, in-progress, review, done, dropped" type="list">
      <formula1>"planned,backlog,in-progress,review,done,dropped"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0" customWidth="1" min="3" max="3"/>
    <col width="46" customWidth="1" min="4" max="4"/>
    <col width="52" customWidth="1" min="5" max="5"/>
    <col width="14" customWidth="1" min="6" max="6"/>
    <col width="40" customWidth="1" min="7" max="7"/>
    <col width="40" customWidth="1" min="8" max="8"/>
  </cols>
  <sheetData>
    <row r="1">
      <c r="A1" s="4" t="inlineStr">
        <is>
          <t>Requirements tracker: all 170 functional requirements of the PRD</t>
        </is>
      </c>
    </row>
    <row r="2">
      <c r="A2" s="5" t="inlineStr">
        <is>
          <t>Owner stream and epic come from the BMAD trees (decision D-33). Update Status, Test evidence and Notes by hand (yellow cells).</t>
        </is>
      </c>
    </row>
    <row r="4">
      <c r="A4" s="6" t="inlineStr">
        <is>
          <t>ID</t>
        </is>
      </c>
      <c r="B4" s="6" t="inlineStr">
        <is>
          <t>Area</t>
        </is>
      </c>
      <c r="C4" s="6" t="inlineStr">
        <is>
          <t>Stream</t>
        </is>
      </c>
      <c r="D4" s="6" t="inlineStr">
        <is>
          <t>Epic</t>
        </is>
      </c>
      <c r="E4" s="6" t="inlineStr">
        <is>
          <t>Requirement</t>
        </is>
      </c>
      <c r="F4" s="6" t="inlineStr">
        <is>
          <t>Status</t>
        </is>
      </c>
      <c r="G4" s="6" t="inlineStr">
        <is>
          <t>Test evidence</t>
        </is>
      </c>
      <c r="H4" s="6" t="inlineStr">
        <is>
          <t>Notes</t>
        </is>
      </c>
    </row>
    <row r="5">
      <c r="A5" s="17" t="inlineStr">
        <is>
          <t>FR-ACC-01</t>
        </is>
      </c>
      <c r="B5" s="17" t="inlineStr">
        <is>
          <t>Accounts and onboarding</t>
        </is>
      </c>
      <c r="C5" s="17" t="inlineStr">
        <is>
          <t>Platform</t>
        </is>
      </c>
      <c r="D5" s="17" t="inlineStr">
        <is>
          <t>E3 People can register, log in and stay secure</t>
        </is>
      </c>
      <c r="E5" s="17" t="inlineStr">
        <is>
          <t>Learner signup</t>
        </is>
      </c>
      <c r="F5" s="15" t="inlineStr">
        <is>
          <t>Not started</t>
        </is>
      </c>
      <c r="G5" s="15" t="n"/>
      <c r="H5" s="15" t="n"/>
    </row>
    <row r="6">
      <c r="A6" s="17" t="inlineStr">
        <is>
          <t>FR-ACC-02</t>
        </is>
      </c>
      <c r="B6" s="17" t="inlineStr">
        <is>
          <t>Accounts and onboarding</t>
        </is>
      </c>
      <c r="C6" s="17" t="inlineStr">
        <is>
          <t>Platform</t>
        </is>
      </c>
      <c r="D6" s="17" t="inlineStr">
        <is>
          <t>E3 People can register, log in and stay secure</t>
        </is>
      </c>
      <c r="E6" s="17" t="inlineStr">
        <is>
          <t>Email verification</t>
        </is>
      </c>
      <c r="F6" s="15" t="inlineStr">
        <is>
          <t>Not started</t>
        </is>
      </c>
      <c r="G6" s="15" t="n"/>
      <c r="H6" s="15" t="n"/>
    </row>
    <row r="7">
      <c r="A7" s="17" t="inlineStr">
        <is>
          <t>FR-ACC-03</t>
        </is>
      </c>
      <c r="B7" s="17" t="inlineStr">
        <is>
          <t>Accounts and onboarding</t>
        </is>
      </c>
      <c r="C7" s="17" t="inlineStr">
        <is>
          <t>Platform</t>
        </is>
      </c>
      <c r="D7" s="17" t="inlineStr">
        <is>
          <t>E3 People can register, log in and stay secure</t>
        </is>
      </c>
      <c r="E7" s="17" t="inlineStr">
        <is>
          <t>Login and sessions</t>
        </is>
      </c>
      <c r="F7" s="15" t="inlineStr">
        <is>
          <t>Not started</t>
        </is>
      </c>
      <c r="G7" s="15" t="n"/>
      <c r="H7" s="15" t="n"/>
    </row>
    <row r="8">
      <c r="A8" s="17" t="inlineStr">
        <is>
          <t>FR-ACC-04</t>
        </is>
      </c>
      <c r="B8" s="17" t="inlineStr">
        <is>
          <t>Accounts and onboarding</t>
        </is>
      </c>
      <c r="C8" s="17" t="inlineStr">
        <is>
          <t>Platform</t>
        </is>
      </c>
      <c r="D8" s="17" t="inlineStr">
        <is>
          <t>E3 People can register, log in and stay secure</t>
        </is>
      </c>
      <c r="E8" s="17" t="inlineStr">
        <is>
          <t>Session timeouts</t>
        </is>
      </c>
      <c r="F8" s="15" t="inlineStr">
        <is>
          <t>Not started</t>
        </is>
      </c>
      <c r="G8" s="15" t="n"/>
      <c r="H8" s="15" t="n"/>
    </row>
    <row r="9">
      <c r="A9" s="17" t="inlineStr">
        <is>
          <t>FR-ACC-05</t>
        </is>
      </c>
      <c r="B9" s="17" t="inlineStr">
        <is>
          <t>Accounts and onboarding</t>
        </is>
      </c>
      <c r="C9" s="17" t="inlineStr">
        <is>
          <t>Platform</t>
        </is>
      </c>
      <c r="D9" s="17" t="inlineStr">
        <is>
          <t>E3 People can register, log in and stay secure</t>
        </is>
      </c>
      <c r="E9" s="17" t="inlineStr">
        <is>
          <t>Account types and separation</t>
        </is>
      </c>
      <c r="F9" s="15" t="inlineStr">
        <is>
          <t>Not started</t>
        </is>
      </c>
      <c r="G9" s="15" t="n"/>
      <c r="H9" s="15" t="n"/>
    </row>
    <row r="10">
      <c r="A10" s="17" t="inlineStr">
        <is>
          <t>FR-ACC-06</t>
        </is>
      </c>
      <c r="B10" s="17" t="inlineStr">
        <is>
          <t>Accounts and onboarding</t>
        </is>
      </c>
      <c r="C10" s="17" t="inlineStr">
        <is>
          <t>Platform</t>
        </is>
      </c>
      <c r="D10" s="17" t="inlineStr">
        <is>
          <t>E3 People can register, log in and stay secure</t>
        </is>
      </c>
      <c r="E10" s="17" t="inlineStr">
        <is>
          <t>Candidate role on the same login</t>
        </is>
      </c>
      <c r="F10" s="15" t="inlineStr">
        <is>
          <t>Not started</t>
        </is>
      </c>
      <c r="G10" s="15" t="n"/>
      <c r="H10" s="15" t="n"/>
    </row>
    <row r="11">
      <c r="A11" s="17" t="inlineStr">
        <is>
          <t>FR-ACC-07</t>
        </is>
      </c>
      <c r="B11" s="17" t="inlineStr">
        <is>
          <t>Accounts and onboarding</t>
        </is>
      </c>
      <c r="C11" s="17" t="inlineStr">
        <is>
          <t>Platform</t>
        </is>
      </c>
      <c r="D11" s="17" t="inlineStr">
        <is>
          <t>E3 People can register, log in and stay secure</t>
        </is>
      </c>
      <c r="E11" s="17" t="inlineStr">
        <is>
          <t>Multi-factor login</t>
        </is>
      </c>
      <c r="F11" s="15" t="inlineStr">
        <is>
          <t>Not started</t>
        </is>
      </c>
      <c r="G11" s="15" t="n"/>
      <c r="H11" s="15" t="n"/>
    </row>
    <row r="12">
      <c r="A12" s="17" t="inlineStr">
        <is>
          <t>FR-ACC-08</t>
        </is>
      </c>
      <c r="B12" s="17" t="inlineStr">
        <is>
          <t>Accounts and onboarding</t>
        </is>
      </c>
      <c r="C12" s="17" t="inlineStr">
        <is>
          <t>Platform</t>
        </is>
      </c>
      <c r="D12" s="17" t="inlineStr">
        <is>
          <t>E3 People can register, log in and stay secure</t>
        </is>
      </c>
      <c r="E12" s="17" t="inlineStr">
        <is>
          <t>Password reset and password quality</t>
        </is>
      </c>
      <c r="F12" s="15" t="inlineStr">
        <is>
          <t>Not started</t>
        </is>
      </c>
      <c r="G12" s="15" t="n"/>
      <c r="H12" s="15" t="n"/>
    </row>
    <row r="13">
      <c r="A13" s="17" t="inlineStr">
        <is>
          <t>FR-ACC-09</t>
        </is>
      </c>
      <c r="B13" s="17" t="inlineStr">
        <is>
          <t>Accounts and onboarding</t>
        </is>
      </c>
      <c r="C13" s="17" t="inlineStr">
        <is>
          <t>Platform</t>
        </is>
      </c>
      <c r="D13" s="17" t="inlineStr">
        <is>
          <t>E3 People can register, log in and stay secure</t>
        </is>
      </c>
      <c r="E13" s="17" t="inlineStr">
        <is>
          <t>Self-service account management</t>
        </is>
      </c>
      <c r="F13" s="15" t="inlineStr">
        <is>
          <t>Not started</t>
        </is>
      </c>
      <c r="G13" s="15" t="n"/>
      <c r="H13" s="15" t="n"/>
    </row>
    <row r="14">
      <c r="A14" s="17" t="inlineStr">
        <is>
          <t>FR-ACC-10</t>
        </is>
      </c>
      <c r="B14" s="17" t="inlineStr">
        <is>
          <t>Accounts and onboarding</t>
        </is>
      </c>
      <c r="C14" s="17" t="inlineStr">
        <is>
          <t>Platform</t>
        </is>
      </c>
      <c r="D14" s="17" t="inlineStr">
        <is>
          <t>E3 People can register, log in and stay secure</t>
        </is>
      </c>
      <c r="E14" s="17" t="inlineStr">
        <is>
          <t>Signup abuse protection</t>
        </is>
      </c>
      <c r="F14" s="15" t="inlineStr">
        <is>
          <t>Not started</t>
        </is>
      </c>
      <c r="G14" s="15" t="n"/>
      <c r="H14" s="15" t="n"/>
    </row>
    <row r="15">
      <c r="A15" s="17" t="inlineStr">
        <is>
          <t>FR-ACC-11</t>
        </is>
      </c>
      <c r="B15" s="17" t="inlineStr">
        <is>
          <t>Accounts and onboarding</t>
        </is>
      </c>
      <c r="C15" s="17" t="inlineStr">
        <is>
          <t>Platform</t>
        </is>
      </c>
      <c r="D15" s="17" t="inlineStr">
        <is>
          <t>E3 People can register, log in and stay secure</t>
        </is>
      </c>
      <c r="E15" s="17" t="inlineStr">
        <is>
          <t>Admin account creation</t>
        </is>
      </c>
      <c r="F15" s="15" t="inlineStr">
        <is>
          <t>Not started</t>
        </is>
      </c>
      <c r="G15" s="15" t="n"/>
      <c r="H15" s="15" t="n"/>
    </row>
    <row r="16">
      <c r="A16" s="17" t="inlineStr">
        <is>
          <t>FR-ACH-01</t>
        </is>
      </c>
      <c r="B16" s="17" t="inlineStr">
        <is>
          <t>Anti-cheat</t>
        </is>
      </c>
      <c r="C16" s="17" t="inlineStr">
        <is>
          <t>Lab</t>
        </is>
      </c>
      <c r="D16" s="17" t="inlineStr">
        <is>
          <t>E7 Attempts, scores, time and integrity are fair and explainable</t>
        </is>
      </c>
      <c r="E16" s="17" t="inlineStr">
        <is>
          <t>Submission limits</t>
        </is>
      </c>
      <c r="F16" s="15" t="inlineStr">
        <is>
          <t>Not started</t>
        </is>
      </c>
      <c r="G16" s="15" t="n"/>
      <c r="H16" s="15" t="n"/>
    </row>
    <row r="17">
      <c r="A17" s="17" t="inlineStr">
        <is>
          <t>FR-ACH-02</t>
        </is>
      </c>
      <c r="B17" s="17" t="inlineStr">
        <is>
          <t>Anti-cheat</t>
        </is>
      </c>
      <c r="C17" s="17" t="inlineStr">
        <is>
          <t>Lab</t>
        </is>
      </c>
      <c r="D17" s="17" t="inlineStr">
        <is>
          <t>E7 Attempts, scores, time and integrity are fair and explainable</t>
        </is>
      </c>
      <c r="E17" s="17" t="inlineStr">
        <is>
          <t>Activity-versus-capture check</t>
        </is>
      </c>
      <c r="F17" s="15" t="inlineStr">
        <is>
          <t>Not started</t>
        </is>
      </c>
      <c r="G17" s="15" t="n"/>
      <c r="H17" s="15" t="n"/>
    </row>
    <row r="18">
      <c r="A18" s="17" t="inlineStr">
        <is>
          <t>FR-ACH-03</t>
        </is>
      </c>
      <c r="B18" s="17" t="inlineStr">
        <is>
          <t>Anti-cheat</t>
        </is>
      </c>
      <c r="C18" s="17" t="inlineStr">
        <is>
          <t>Lab</t>
        </is>
      </c>
      <c r="D18" s="17" t="inlineStr">
        <is>
          <t>E7 Attempts, scores, time and integrity are fair and explainable</t>
        </is>
      </c>
      <c r="E18" s="17" t="inlineStr">
        <is>
          <t>Timing anomalies</t>
        </is>
      </c>
      <c r="F18" s="15" t="inlineStr">
        <is>
          <t>Not started</t>
        </is>
      </c>
      <c r="G18" s="15" t="n"/>
      <c r="H18" s="15" t="n"/>
    </row>
    <row r="19">
      <c r="A19" s="17" t="inlineStr">
        <is>
          <t>FR-ACH-04</t>
        </is>
      </c>
      <c r="B19" s="17" t="inlineStr">
        <is>
          <t>Anti-cheat</t>
        </is>
      </c>
      <c r="C19" s="17" t="inlineStr">
        <is>
          <t>Lab</t>
        </is>
      </c>
      <c r="D19" s="17" t="inlineStr">
        <is>
          <t>E7 Attempts, scores, time and integrity are fair and explainable</t>
        </is>
      </c>
      <c r="E19" s="17" t="inlineStr">
        <is>
          <t>Write-up similarity review</t>
        </is>
      </c>
      <c r="F19" s="15" t="inlineStr">
        <is>
          <t>Not started</t>
        </is>
      </c>
      <c r="G19" s="15" t="n"/>
      <c r="H19" s="15" t="n"/>
    </row>
    <row r="20">
      <c r="A20" s="17" t="inlineStr">
        <is>
          <t>FR-ACH-05</t>
        </is>
      </c>
      <c r="B20" s="17" t="inlineStr">
        <is>
          <t>Anti-cheat</t>
        </is>
      </c>
      <c r="C20" s="17" t="inlineStr">
        <is>
          <t>Lab</t>
        </is>
      </c>
      <c r="D20" s="17" t="inlineStr">
        <is>
          <t>E7 Attempts, scores, time and integrity are fair and explainable</t>
        </is>
      </c>
      <c r="E20" s="17" t="inlineStr">
        <is>
          <t>No proctoring</t>
        </is>
      </c>
      <c r="F20" s="15" t="inlineStr">
        <is>
          <t>Not started</t>
        </is>
      </c>
      <c r="G20" s="15" t="n"/>
      <c r="H20" s="15" t="n"/>
    </row>
    <row r="21">
      <c r="A21" s="17" t="inlineStr">
        <is>
          <t>FR-ACH-06</t>
        </is>
      </c>
      <c r="B21" s="17" t="inlineStr">
        <is>
          <t>Anti-cheat</t>
        </is>
      </c>
      <c r="C21" s="17" t="inlineStr">
        <is>
          <t>Lab</t>
        </is>
      </c>
      <c r="D21" s="17" t="inlineStr">
        <is>
          <t>E7 Attempts, scores, time and integrity are fair and explainable</t>
        </is>
      </c>
      <c r="E21" s="17" t="inlineStr">
        <is>
          <t>Integrity signals are evidence for a human</t>
        </is>
      </c>
      <c r="F21" s="15" t="inlineStr">
        <is>
          <t>Not started</t>
        </is>
      </c>
      <c r="G21" s="15" t="n"/>
      <c r="H21" s="15" t="n"/>
    </row>
    <row r="22">
      <c r="A22" s="17" t="inlineStr">
        <is>
          <t>FR-ACH-07</t>
        </is>
      </c>
      <c r="B22" s="17" t="inlineStr">
        <is>
          <t>Anti-cheat</t>
        </is>
      </c>
      <c r="C22" s="17" t="inlineStr">
        <is>
          <t>Lab</t>
        </is>
      </c>
      <c r="D22" s="17" t="inlineStr">
        <is>
          <t>E7 Attempts, scores, time and integrity are fair and explainable</t>
        </is>
      </c>
      <c r="E22" s="17" t="inlineStr">
        <is>
          <t>Review of held captures</t>
        </is>
      </c>
      <c r="F22" s="15" t="inlineStr">
        <is>
          <t>Not started</t>
        </is>
      </c>
      <c r="G22" s="15" t="n"/>
      <c r="H22" s="15" t="n"/>
    </row>
    <row r="23">
      <c r="A23" s="17" t="inlineStr">
        <is>
          <t>FR-ADM-01</t>
        </is>
      </c>
      <c r="B23" s="17" t="inlineStr">
        <is>
          <t>Admin and operations</t>
        </is>
      </c>
      <c r="C23" s="17" t="inlineStr">
        <is>
          <t>Platform</t>
        </is>
      </c>
      <c r="D23" s="17" t="inlineStr">
        <is>
          <t>E9 Admins approve, operate and audit safely</t>
        </is>
      </c>
      <c r="E23" s="17" t="inlineStr">
        <is>
          <t>Approval queue</t>
        </is>
      </c>
      <c r="F23" s="15" t="inlineStr">
        <is>
          <t>Not started</t>
        </is>
      </c>
      <c r="G23" s="15" t="n"/>
      <c r="H23" s="15" t="n"/>
    </row>
    <row r="24">
      <c r="A24" s="17" t="inlineStr">
        <is>
          <t>FR-ADM-02</t>
        </is>
      </c>
      <c r="B24" s="17" t="inlineStr">
        <is>
          <t>Admin and operations</t>
        </is>
      </c>
      <c r="C24" s="17" t="inlineStr">
        <is>
          <t>Platform</t>
        </is>
      </c>
      <c r="D24" s="17" t="inlineStr">
        <is>
          <t>E9 Admins approve, operate and audit safely</t>
        </is>
      </c>
      <c r="E24" s="17" t="inlineStr">
        <is>
          <t>User management</t>
        </is>
      </c>
      <c r="F24" s="15" t="inlineStr">
        <is>
          <t>Not started</t>
        </is>
      </c>
      <c r="G24" s="15" t="n"/>
      <c r="H24" s="15" t="n"/>
    </row>
    <row r="25">
      <c r="A25" s="17" t="inlineStr">
        <is>
          <t>FR-ADM-03</t>
        </is>
      </c>
      <c r="B25" s="17" t="inlineStr">
        <is>
          <t>Admin and operations</t>
        </is>
      </c>
      <c r="C25" s="17" t="inlineStr">
        <is>
          <t>Platform</t>
        </is>
      </c>
      <c r="D25" s="17" t="inlineStr">
        <is>
          <t>E9 Admins approve, operate and audit safely</t>
        </is>
      </c>
      <c r="E25" s="17" t="inlineStr">
        <is>
          <t>Break-glass access</t>
        </is>
      </c>
      <c r="F25" s="15" t="inlineStr">
        <is>
          <t>Not started</t>
        </is>
      </c>
      <c r="G25" s="15" t="n"/>
      <c r="H25" s="15" t="n"/>
    </row>
    <row r="26">
      <c r="A26" s="17" t="inlineStr">
        <is>
          <t>FR-ADM-04</t>
        </is>
      </c>
      <c r="B26" s="17" t="inlineStr">
        <is>
          <t>Admin and operations</t>
        </is>
      </c>
      <c r="C26" s="17" t="inlineStr">
        <is>
          <t>Platform</t>
        </is>
      </c>
      <c r="D26" s="17" t="inlineStr">
        <is>
          <t>E9 Admins approve, operate and audit safely</t>
        </is>
      </c>
      <c r="E26" s="17" t="inlineStr">
        <is>
          <t>Force-stop</t>
        </is>
      </c>
      <c r="F26" s="15" t="inlineStr">
        <is>
          <t>Not started</t>
        </is>
      </c>
      <c r="G26" s="15" t="n"/>
      <c r="H26" s="15" t="n"/>
    </row>
    <row r="27">
      <c r="A27" s="17" t="inlineStr">
        <is>
          <t>FR-ADM-05</t>
        </is>
      </c>
      <c r="B27" s="17" t="inlineStr">
        <is>
          <t>Admin and operations</t>
        </is>
      </c>
      <c r="C27" s="17" t="inlineStr">
        <is>
          <t>Platform</t>
        </is>
      </c>
      <c r="D27" s="17" t="inlineStr">
        <is>
          <t>E9 Admins approve, operate and audit safely</t>
        </is>
      </c>
      <c r="E27" s="17" t="inlineStr">
        <is>
          <t>Settings and quotas</t>
        </is>
      </c>
      <c r="F27" s="15" t="inlineStr">
        <is>
          <t>Not started</t>
        </is>
      </c>
      <c r="G27" s="15" t="n"/>
      <c r="H27" s="15" t="n"/>
    </row>
    <row r="28">
      <c r="A28" s="17" t="inlineStr">
        <is>
          <t>FR-ADM-06</t>
        </is>
      </c>
      <c r="B28" s="17" t="inlineStr">
        <is>
          <t>Admin and operations</t>
        </is>
      </c>
      <c r="C28" s="17" t="inlineStr">
        <is>
          <t>Platform</t>
        </is>
      </c>
      <c r="D28" s="17" t="inlineStr">
        <is>
          <t>E9 Admins approve, operate and audit safely</t>
        </is>
      </c>
      <c r="E28" s="17" t="inlineStr">
        <is>
          <t>Capacity view</t>
        </is>
      </c>
      <c r="F28" s="15" t="inlineStr">
        <is>
          <t>Not started</t>
        </is>
      </c>
      <c r="G28" s="15" t="n"/>
      <c r="H28" s="15" t="n"/>
    </row>
    <row r="29">
      <c r="A29" s="17" t="inlineStr">
        <is>
          <t>FR-ADM-07</t>
        </is>
      </c>
      <c r="B29" s="17" t="inlineStr">
        <is>
          <t>Admin and operations</t>
        </is>
      </c>
      <c r="C29" s="17" t="inlineStr">
        <is>
          <t>Platform</t>
        </is>
      </c>
      <c r="D29" s="17" t="inlineStr">
        <is>
          <t>E9 Admins approve, operate and audit safely</t>
        </is>
      </c>
      <c r="E29" s="17" t="inlineStr">
        <is>
          <t>Audit access</t>
        </is>
      </c>
      <c r="F29" s="15" t="inlineStr">
        <is>
          <t>Not started</t>
        </is>
      </c>
      <c r="G29" s="15" t="n"/>
      <c r="H29" s="15" t="n"/>
    </row>
    <row r="30">
      <c r="A30" s="17" t="inlineStr">
        <is>
          <t>FR-ADM-08</t>
        </is>
      </c>
      <c r="B30" s="17" t="inlineStr">
        <is>
          <t>Admin and operations</t>
        </is>
      </c>
      <c r="C30" s="17" t="inlineStr">
        <is>
          <t>Platform</t>
        </is>
      </c>
      <c r="D30" s="17" t="inlineStr">
        <is>
          <t>E9 Admins approve, operate and audit safely</t>
        </is>
      </c>
      <c r="E30" s="17" t="inlineStr">
        <is>
          <t>Admin cannot read candidate answers by default</t>
        </is>
      </c>
      <c r="F30" s="15" t="inlineStr">
        <is>
          <t>Not started</t>
        </is>
      </c>
      <c r="G30" s="15" t="n"/>
      <c r="H30" s="15" t="n"/>
    </row>
    <row r="31">
      <c r="A31" s="17" t="inlineStr">
        <is>
          <t>FR-ASM-01</t>
        </is>
      </c>
      <c r="B31" s="17" t="inlineStr">
        <is>
          <t>Assessments and invites</t>
        </is>
      </c>
      <c r="C31" s="17" t="inlineStr">
        <is>
          <t>Platform</t>
        </is>
      </c>
      <c r="D31" s="17" t="inlineStr">
        <is>
          <t>E6 Recruiters create assessments and invite candidates</t>
        </is>
      </c>
      <c r="E31" s="17" t="inlineStr">
        <is>
          <t>Assessment template</t>
        </is>
      </c>
      <c r="F31" s="15" t="inlineStr">
        <is>
          <t>Not started</t>
        </is>
      </c>
      <c r="G31" s="15" t="n"/>
      <c r="H31" s="15" t="n"/>
    </row>
    <row r="32">
      <c r="A32" s="17" t="inlineStr">
        <is>
          <t>FR-ASM-02</t>
        </is>
      </c>
      <c r="B32" s="17" t="inlineStr">
        <is>
          <t>Assessments and invites</t>
        </is>
      </c>
      <c r="C32" s="17" t="inlineStr">
        <is>
          <t>Platform</t>
        </is>
      </c>
      <c r="D32" s="17" t="inlineStr">
        <is>
          <t>E6 Recruiters create assessments and invite candidates</t>
        </is>
      </c>
      <c r="E32" s="17" t="inlineStr">
        <is>
          <t>Create and send invites</t>
        </is>
      </c>
      <c r="F32" s="15" t="inlineStr">
        <is>
          <t>Not started</t>
        </is>
      </c>
      <c r="G32" s="15" t="n"/>
      <c r="H32" s="15" t="n"/>
    </row>
    <row r="33">
      <c r="A33" s="17" t="inlineStr">
        <is>
          <t>FR-ASM-03</t>
        </is>
      </c>
      <c r="B33" s="17" t="inlineStr">
        <is>
          <t>Assessments and invites</t>
        </is>
      </c>
      <c r="C33" s="17" t="inlineStr">
        <is>
          <t>Platform</t>
        </is>
      </c>
      <c r="D33" s="17" t="inlineStr">
        <is>
          <t>E6 Recruiters create assessments and invite candidates</t>
        </is>
      </c>
      <c r="E33" s="17" t="inlineStr">
        <is>
          <t>Invite lifecycle</t>
        </is>
      </c>
      <c r="F33" s="15" t="inlineStr">
        <is>
          <t>Not started</t>
        </is>
      </c>
      <c r="G33" s="15" t="n"/>
      <c r="H33" s="15" t="n"/>
    </row>
    <row r="34">
      <c r="A34" s="17" t="inlineStr">
        <is>
          <t>FR-ASM-04</t>
        </is>
      </c>
      <c r="B34" s="17" t="inlineStr">
        <is>
          <t>Assessments and invites</t>
        </is>
      </c>
      <c r="C34" s="17" t="inlineStr">
        <is>
          <t>Platform</t>
        </is>
      </c>
      <c r="D34" s="17" t="inlineStr">
        <is>
          <t>E6 Recruiters create assessments and invite candidates</t>
        </is>
      </c>
      <c r="E34" s="17" t="inlineStr">
        <is>
          <t>Accepting an invite</t>
        </is>
      </c>
      <c r="F34" s="15" t="inlineStr">
        <is>
          <t>Not started</t>
        </is>
      </c>
      <c r="G34" s="15" t="n"/>
      <c r="H34" s="15" t="n"/>
    </row>
    <row r="35">
      <c r="A35" s="17" t="inlineStr">
        <is>
          <t>FR-ASM-05</t>
        </is>
      </c>
      <c r="B35" s="17" t="inlineStr">
        <is>
          <t>Assessments and invites</t>
        </is>
      </c>
      <c r="C35" s="17" t="inlineStr">
        <is>
          <t>Platform</t>
        </is>
      </c>
      <c r="D35" s="17" t="inlineStr">
        <is>
          <t>E6 Recruiters create assessments and invite candidates</t>
        </is>
      </c>
      <c r="E35" s="17" t="inlineStr">
        <is>
          <t>Re-invite after a fault</t>
        </is>
      </c>
      <c r="F35" s="15" t="inlineStr">
        <is>
          <t>Not started</t>
        </is>
      </c>
      <c r="G35" s="15" t="n"/>
      <c r="H35" s="15" t="n"/>
    </row>
    <row r="36">
      <c r="A36" s="17" t="inlineStr">
        <is>
          <t>FR-ASM-06</t>
        </is>
      </c>
      <c r="B36" s="17" t="inlineStr">
        <is>
          <t>Assessments and invites</t>
        </is>
      </c>
      <c r="C36" s="17" t="inlineStr">
        <is>
          <t>Platform</t>
        </is>
      </c>
      <c r="D36" s="17" t="inlineStr">
        <is>
          <t>E6 Recruiters create assessments and invite candidates</t>
        </is>
      </c>
      <c r="E36" s="17" t="inlineStr">
        <is>
          <t>Bulk invite handling</t>
        </is>
      </c>
      <c r="F36" s="15" t="inlineStr">
        <is>
          <t>Not started</t>
        </is>
      </c>
      <c r="G36" s="15" t="n"/>
      <c r="H36" s="15" t="n"/>
    </row>
    <row r="37">
      <c r="A37" s="17" t="inlineStr">
        <is>
          <t>FR-CHL-01</t>
        </is>
      </c>
      <c r="B37" s="17" t="inlineStr">
        <is>
          <t>Challenges</t>
        </is>
      </c>
      <c r="C37" s="17" t="inlineStr">
        <is>
          <t>Target</t>
        </is>
      </c>
      <c r="D37" s="17" t="inlineStr">
        <is>
          <t>E8 Catalogue, hints, write-ups and exploit verification for all 11 challenges</t>
        </is>
      </c>
      <c r="E37" s="17" t="inlineStr">
        <is>
          <t>Catalogue and tags</t>
        </is>
      </c>
      <c r="F37" s="15" t="inlineStr">
        <is>
          <t>Not started</t>
        </is>
      </c>
      <c r="G37" s="15" t="n"/>
      <c r="H37" s="15" t="n"/>
    </row>
    <row r="38">
      <c r="A38" s="17" t="inlineStr">
        <is>
          <t>FR-CHL-02</t>
        </is>
      </c>
      <c r="B38" s="17" t="inlineStr">
        <is>
          <t>Challenges</t>
        </is>
      </c>
      <c r="C38" s="17" t="inlineStr">
        <is>
          <t>Target</t>
        </is>
      </c>
      <c r="D38" s="17" t="inlineStr">
        <is>
          <t>E5 Challenges C01 to C04: access control, crypto, injection, insecure design</t>
        </is>
      </c>
      <c r="E38" s="17" t="inlineStr">
        <is>
          <t>C01 Broken Access Control</t>
        </is>
      </c>
      <c r="F38" s="15" t="inlineStr">
        <is>
          <t>Not started</t>
        </is>
      </c>
      <c r="G38" s="15" t="n"/>
      <c r="H38" s="15" t="n"/>
    </row>
    <row r="39">
      <c r="A39" s="17" t="inlineStr">
        <is>
          <t>FR-CHL-03</t>
        </is>
      </c>
      <c r="B39" s="17" t="inlineStr">
        <is>
          <t>Challenges</t>
        </is>
      </c>
      <c r="C39" s="17" t="inlineStr">
        <is>
          <t>Target</t>
        </is>
      </c>
      <c r="D39" s="17" t="inlineStr">
        <is>
          <t>E5 Challenges C01 to C04: access control, crypto, injection, insecure design</t>
        </is>
      </c>
      <c r="E39" s="17" t="inlineStr">
        <is>
          <t>C02 Cryptographic Failures</t>
        </is>
      </c>
      <c r="F39" s="15" t="inlineStr">
        <is>
          <t>Not started</t>
        </is>
      </c>
      <c r="G39" s="15" t="n"/>
      <c r="H39" s="15" t="n"/>
    </row>
    <row r="40">
      <c r="A40" s="17" t="inlineStr">
        <is>
          <t>FR-CHL-04</t>
        </is>
      </c>
      <c r="B40" s="17" t="inlineStr">
        <is>
          <t>Challenges</t>
        </is>
      </c>
      <c r="C40" s="17" t="inlineStr">
        <is>
          <t>Target</t>
        </is>
      </c>
      <c r="D40" s="17" t="inlineStr">
        <is>
          <t>E5 Challenges C01 to C04: access control, crypto, injection, insecure design</t>
        </is>
      </c>
      <c r="E40" s="17" t="inlineStr">
        <is>
          <t>C03 Injection (SQL injection and stored XSS)</t>
        </is>
      </c>
      <c r="F40" s="15" t="inlineStr">
        <is>
          <t>Not started</t>
        </is>
      </c>
      <c r="G40" s="15" t="n"/>
      <c r="H40" s="15" t="n"/>
    </row>
    <row r="41">
      <c r="A41" s="17" t="inlineStr">
        <is>
          <t>FR-CHL-05</t>
        </is>
      </c>
      <c r="B41" s="17" t="inlineStr">
        <is>
          <t>Challenges</t>
        </is>
      </c>
      <c r="C41" s="17" t="inlineStr">
        <is>
          <t>Target</t>
        </is>
      </c>
      <c r="D41" s="17" t="inlineStr">
        <is>
          <t>E5 Challenges C01 to C04: access control, crypto, injection, insecure design</t>
        </is>
      </c>
      <c r="E41" s="17" t="inlineStr">
        <is>
          <t>C04 Insecure Design</t>
        </is>
      </c>
      <c r="F41" s="15" t="inlineStr">
        <is>
          <t>Not started</t>
        </is>
      </c>
      <c r="G41" s="15" t="n"/>
      <c r="H41" s="15" t="n"/>
    </row>
    <row r="42">
      <c r="A42" s="17" t="inlineStr">
        <is>
          <t>FR-CHL-06</t>
        </is>
      </c>
      <c r="B42" s="17" t="inlineStr">
        <is>
          <t>Challenges</t>
        </is>
      </c>
      <c r="C42" s="17" t="inlineStr">
        <is>
          <t>Target</t>
        </is>
      </c>
      <c r="D42" s="17" t="inlineStr">
        <is>
          <t>E6 Challenges C05 to C08: misconfiguration, components, authentication, integrity</t>
        </is>
      </c>
      <c r="E42" s="17" t="inlineStr">
        <is>
          <t>C05 Security Misconfiguration</t>
        </is>
      </c>
      <c r="F42" s="15" t="inlineStr">
        <is>
          <t>Not started</t>
        </is>
      </c>
      <c r="G42" s="15" t="n"/>
      <c r="H42" s="15" t="n"/>
    </row>
    <row r="43">
      <c r="A43" s="17" t="inlineStr">
        <is>
          <t>FR-CHL-07</t>
        </is>
      </c>
      <c r="B43" s="17" t="inlineStr">
        <is>
          <t>Challenges</t>
        </is>
      </c>
      <c r="C43" s="17" t="inlineStr">
        <is>
          <t>Target</t>
        </is>
      </c>
      <c r="D43" s="17" t="inlineStr">
        <is>
          <t>E6 Challenges C05 to C08: misconfiguration, components, authentication, integrity</t>
        </is>
      </c>
      <c r="E43" s="17" t="inlineStr">
        <is>
          <t>C06 Vulnerable and Outdated Components</t>
        </is>
      </c>
      <c r="F43" s="15" t="inlineStr">
        <is>
          <t>Not started</t>
        </is>
      </c>
      <c r="G43" s="15" t="n"/>
      <c r="H43" s="15" t="n"/>
    </row>
    <row r="44">
      <c r="A44" s="17" t="inlineStr">
        <is>
          <t>FR-CHL-08</t>
        </is>
      </c>
      <c r="B44" s="17" t="inlineStr">
        <is>
          <t>Challenges</t>
        </is>
      </c>
      <c r="C44" s="17" t="inlineStr">
        <is>
          <t>Target</t>
        </is>
      </c>
      <c r="D44" s="17" t="inlineStr">
        <is>
          <t>E6 Challenges C05 to C08: misconfiguration, components, authentication, integrity</t>
        </is>
      </c>
      <c r="E44" s="17" t="inlineStr">
        <is>
          <t>C07 Authentication Failures</t>
        </is>
      </c>
      <c r="F44" s="15" t="inlineStr">
        <is>
          <t>Not started</t>
        </is>
      </c>
      <c r="G44" s="15" t="n"/>
      <c r="H44" s="15" t="n"/>
    </row>
    <row r="45">
      <c r="A45" s="17" t="inlineStr">
        <is>
          <t>FR-CHL-09</t>
        </is>
      </c>
      <c r="B45" s="17" t="inlineStr">
        <is>
          <t>Challenges</t>
        </is>
      </c>
      <c r="C45" s="17" t="inlineStr">
        <is>
          <t>Target</t>
        </is>
      </c>
      <c r="D45" s="17" t="inlineStr">
        <is>
          <t>E6 Challenges C05 to C08: misconfiguration, components, authentication, integrity</t>
        </is>
      </c>
      <c r="E45" s="17" t="inlineStr">
        <is>
          <t>C08 Software or Data Integrity Failures</t>
        </is>
      </c>
      <c r="F45" s="15" t="inlineStr">
        <is>
          <t>Not started</t>
        </is>
      </c>
      <c r="G45" s="15" t="n"/>
      <c r="H45" s="15" t="n"/>
    </row>
    <row r="46">
      <c r="A46" s="17" t="inlineStr">
        <is>
          <t>FR-CHL-10</t>
        </is>
      </c>
      <c r="B46" s="17" t="inlineStr">
        <is>
          <t>Challenges</t>
        </is>
      </c>
      <c r="C46" s="17" t="inlineStr">
        <is>
          <t>Target</t>
        </is>
      </c>
      <c r="D46" s="17" t="inlineStr">
        <is>
          <t>E7 Challenges C09 to C11: logging, SSRF, exceptional conditions</t>
        </is>
      </c>
      <c r="E46" s="17" t="inlineStr">
        <is>
          <t>C09 Logging and Alerting Failures</t>
        </is>
      </c>
      <c r="F46" s="15" t="inlineStr">
        <is>
          <t>Not started</t>
        </is>
      </c>
      <c r="G46" s="15" t="n"/>
      <c r="H46" s="15" t="n"/>
    </row>
    <row r="47">
      <c r="A47" s="17" t="inlineStr">
        <is>
          <t>FR-CHL-11</t>
        </is>
      </c>
      <c r="B47" s="17" t="inlineStr">
        <is>
          <t>Challenges</t>
        </is>
      </c>
      <c r="C47" s="17" t="inlineStr">
        <is>
          <t>Target</t>
        </is>
      </c>
      <c r="D47" s="17" t="inlineStr">
        <is>
          <t>E7 Challenges C09 to C11: logging, SSRF, exceptional conditions</t>
        </is>
      </c>
      <c r="E47" s="17" t="inlineStr">
        <is>
          <t>C10 Server-Side Request Forgery</t>
        </is>
      </c>
      <c r="F47" s="15" t="inlineStr">
        <is>
          <t>Not started</t>
        </is>
      </c>
      <c r="G47" s="15" t="n"/>
      <c r="H47" s="15" t="n"/>
    </row>
    <row r="48">
      <c r="A48" s="17" t="inlineStr">
        <is>
          <t>FR-CHL-12</t>
        </is>
      </c>
      <c r="B48" s="17" t="inlineStr">
        <is>
          <t>Challenges</t>
        </is>
      </c>
      <c r="C48" s="17" t="inlineStr">
        <is>
          <t>Target</t>
        </is>
      </c>
      <c r="D48" s="17" t="inlineStr">
        <is>
          <t>E7 Challenges C09 to C11: logging, SSRF, exceptional conditions</t>
        </is>
      </c>
      <c r="E48" s="17" t="inlineStr">
        <is>
          <t>C11 Mishandling of Exceptional Conditions</t>
        </is>
      </c>
      <c r="F48" s="15" t="inlineStr">
        <is>
          <t>Not started</t>
        </is>
      </c>
      <c r="G48" s="15" t="n"/>
      <c r="H48" s="15" t="n"/>
    </row>
    <row r="49">
      <c r="A49" s="17" t="inlineStr">
        <is>
          <t>FR-CHL-13</t>
        </is>
      </c>
      <c r="B49" s="17" t="inlineStr">
        <is>
          <t>Challenges</t>
        </is>
      </c>
      <c r="C49" s="17" t="inlineStr">
        <is>
          <t>Target</t>
        </is>
      </c>
      <c r="D49" s="17" t="inlineStr">
        <is>
          <t>E8 Catalogue, hints, write-ups and exploit verification for all 11 challenges</t>
        </is>
      </c>
      <c r="E49" s="17" t="inlineStr">
        <is>
          <t>Independence and sentinel rule</t>
        </is>
      </c>
      <c r="F49" s="15" t="inlineStr">
        <is>
          <t>Not started</t>
        </is>
      </c>
      <c r="G49" s="15" t="n"/>
      <c r="H49" s="15" t="n"/>
    </row>
    <row r="50">
      <c r="A50" s="17" t="inlineStr">
        <is>
          <t>FR-CHL-14</t>
        </is>
      </c>
      <c r="B50" s="17" t="inlineStr">
        <is>
          <t>Challenges</t>
        </is>
      </c>
      <c r="C50" s="17" t="inlineStr">
        <is>
          <t>Target</t>
        </is>
      </c>
      <c r="D50" s="17" t="inlineStr">
        <is>
          <t>E8 Catalogue, hints, write-ups and exploit verification for all 11 challenges</t>
        </is>
      </c>
      <c r="E50" s="17" t="inlineStr">
        <is>
          <t>Post-solve write-up</t>
        </is>
      </c>
      <c r="F50" s="15" t="inlineStr">
        <is>
          <t>Not started</t>
        </is>
      </c>
      <c r="G50" s="15" t="n"/>
      <c r="H50" s="15" t="n"/>
    </row>
    <row r="51">
      <c r="A51" s="17" t="inlineStr">
        <is>
          <t>FR-CHL-15</t>
        </is>
      </c>
      <c r="B51" s="17" t="inlineStr">
        <is>
          <t>Challenges</t>
        </is>
      </c>
      <c r="C51" s="17" t="inlineStr">
        <is>
          <t>Target</t>
        </is>
      </c>
      <c r="D51" s="17" t="inlineStr">
        <is>
          <t>E8 Catalogue, hints, write-ups and exploit verification for all 11 challenges</t>
        </is>
      </c>
      <c r="E51" s="17" t="inlineStr">
        <is>
          <t>Player brief and start state</t>
        </is>
      </c>
      <c r="F51" s="15" t="inlineStr">
        <is>
          <t>Not started</t>
        </is>
      </c>
      <c r="G51" s="15" t="n"/>
      <c r="H51" s="15" t="n"/>
    </row>
    <row r="52">
      <c r="A52" s="17" t="inlineStr">
        <is>
          <t>FR-CHL-16</t>
        </is>
      </c>
      <c r="B52" s="17" t="inlineStr">
        <is>
          <t>Challenges</t>
        </is>
      </c>
      <c r="C52" s="17" t="inlineStr">
        <is>
          <t>Target</t>
        </is>
      </c>
      <c r="D52" s="17" t="inlineStr">
        <is>
          <t>E8 Catalogue, hints, write-ups and exploit verification for all 11 challenges</t>
        </is>
      </c>
      <c r="E52" s="17" t="inlineStr">
        <is>
          <t>Automated exploit verification</t>
        </is>
      </c>
      <c r="F52" s="15" t="inlineStr">
        <is>
          <t>Not started</t>
        </is>
      </c>
      <c r="G52" s="15" t="n"/>
      <c r="H52" s="15" t="n"/>
    </row>
    <row r="53">
      <c r="A53" s="17" t="inlineStr">
        <is>
          <t>FR-CHL-17</t>
        </is>
      </c>
      <c r="B53" s="17" t="inlineStr">
        <is>
          <t>Challenges</t>
        </is>
      </c>
      <c r="C53" s="17" t="inlineStr">
        <is>
          <t>Target</t>
        </is>
      </c>
      <c r="D53" s="17" t="inlineStr">
        <is>
          <t>E8 Catalogue, hints, write-ups and exploit verification for all 11 challenges</t>
        </is>
      </c>
      <c r="E53" s="17" t="inlineStr">
        <is>
          <t>Difficulty tiers</t>
        </is>
      </c>
      <c r="F53" s="15" t="inlineStr">
        <is>
          <t>Not started</t>
        </is>
      </c>
      <c r="G53" s="15" t="n"/>
      <c r="H53" s="15" t="n"/>
    </row>
    <row r="54">
      <c r="A54" s="17" t="inlineStr">
        <is>
          <t>FR-DET-01</t>
        </is>
      </c>
      <c r="B54" s="17" t="inlineStr">
        <is>
          <t>Technique detection</t>
        </is>
      </c>
      <c r="C54" s="17" t="inlineStr">
        <is>
          <t>Lab</t>
        </is>
      </c>
      <c r="D54" s="17" t="inlineStr">
        <is>
          <t>E6 Flags are unique and every exploit is detected</t>
        </is>
      </c>
      <c r="E54" s="17" t="inlineStr">
        <is>
          <t>Layer 1: fixed tags</t>
        </is>
      </c>
      <c r="F54" s="15" t="inlineStr">
        <is>
          <t>Not started</t>
        </is>
      </c>
      <c r="G54" s="15" t="n"/>
      <c r="H54" s="15" t="n"/>
    </row>
    <row r="55">
      <c r="A55" s="17" t="inlineStr">
        <is>
          <t>FR-DET-02</t>
        </is>
      </c>
      <c r="B55" s="17" t="inlineStr">
        <is>
          <t>Technique detection</t>
        </is>
      </c>
      <c r="C55" s="17" t="inlineStr">
        <is>
          <t>Lab</t>
        </is>
      </c>
      <c r="D55" s="17" t="inlineStr">
        <is>
          <t>E6 Flags are unique and every exploit is detected</t>
        </is>
      </c>
      <c r="E55" s="17" t="inlineStr">
        <is>
          <t>Layer 2: automatic technique detection</t>
        </is>
      </c>
      <c r="F55" s="15" t="inlineStr">
        <is>
          <t>Not started</t>
        </is>
      </c>
      <c r="G55" s="15" t="n"/>
      <c r="H55" s="15" t="n"/>
    </row>
    <row r="56">
      <c r="A56" s="17" t="inlineStr">
        <is>
          <t>FR-DET-03</t>
        </is>
      </c>
      <c r="B56" s="17" t="inlineStr">
        <is>
          <t>Technique detection</t>
        </is>
      </c>
      <c r="C56" s="17" t="inlineStr">
        <is>
          <t>Lab</t>
        </is>
      </c>
      <c r="D56" s="17" t="inlineStr">
        <is>
          <t>E6 Flags are unique and every exploit is detected</t>
        </is>
      </c>
      <c r="E56" s="17" t="inlineStr">
        <is>
          <t>Layer 3: evidence capture</t>
        </is>
      </c>
      <c r="F56" s="15" t="inlineStr">
        <is>
          <t>Not started</t>
        </is>
      </c>
      <c r="G56" s="15" t="n"/>
      <c r="H56" s="15" t="n"/>
    </row>
    <row r="57">
      <c r="A57" s="17" t="inlineStr">
        <is>
          <t>FR-DET-04</t>
        </is>
      </c>
      <c r="B57" s="17" t="inlineStr">
        <is>
          <t>Technique detection</t>
        </is>
      </c>
      <c r="C57" s="17" t="inlineStr">
        <is>
          <t>Lab</t>
        </is>
      </c>
      <c r="D57" s="17" t="inlineStr">
        <is>
          <t>E6 Flags are unique and every exploit is detected</t>
        </is>
      </c>
      <c r="E57" s="17" t="inlineStr">
        <is>
          <t>Signed events</t>
        </is>
      </c>
      <c r="F57" s="15" t="inlineStr">
        <is>
          <t>Not started</t>
        </is>
      </c>
      <c r="G57" s="15" t="n"/>
      <c r="H57" s="15" t="n"/>
    </row>
    <row r="58">
      <c r="A58" s="17" t="inlineStr">
        <is>
          <t>FR-DET-05</t>
        </is>
      </c>
      <c r="B58" s="17" t="inlineStr">
        <is>
          <t>Technique detection</t>
        </is>
      </c>
      <c r="C58" s="17" t="inlineStr">
        <is>
          <t>Lab</t>
        </is>
      </c>
      <c r="D58" s="17" t="inlineStr">
        <is>
          <t>E6 Flags are unique and every exploit is detected</t>
        </is>
      </c>
      <c r="E58" s="17" t="inlineStr">
        <is>
          <t>Milestones</t>
        </is>
      </c>
      <c r="F58" s="15" t="inlineStr">
        <is>
          <t>Not started</t>
        </is>
      </c>
      <c r="G58" s="15" t="n"/>
      <c r="H58" s="15" t="n"/>
    </row>
    <row r="59">
      <c r="A59" s="17" t="inlineStr">
        <is>
          <t>FR-DET-06</t>
        </is>
      </c>
      <c r="B59" s="17" t="inlineStr">
        <is>
          <t>Technique detection</t>
        </is>
      </c>
      <c r="C59" s="17" t="inlineStr">
        <is>
          <t>Lab</t>
        </is>
      </c>
      <c r="D59" s="17" t="inlineStr">
        <is>
          <t>E6 Flags are unique and every exploit is detected</t>
        </is>
      </c>
      <c r="E59" s="17" t="inlineStr">
        <is>
          <t>Negative-observation rules</t>
        </is>
      </c>
      <c r="F59" s="15" t="inlineStr">
        <is>
          <t>Not started</t>
        </is>
      </c>
      <c r="G59" s="15" t="n"/>
      <c r="H59" s="15" t="n"/>
    </row>
    <row r="60">
      <c r="A60" s="17" t="inlineStr">
        <is>
          <t>FR-DET-07</t>
        </is>
      </c>
      <c r="B60" s="17" t="inlineStr">
        <is>
          <t>Technique detection</t>
        </is>
      </c>
      <c r="C60" s="17" t="inlineStr">
        <is>
          <t>Lab</t>
        </is>
      </c>
      <c r="D60" s="17" t="inlineStr">
        <is>
          <t>E6 Flags are unique and every exploit is detected</t>
        </is>
      </c>
      <c r="E60" s="17" t="inlineStr">
        <is>
          <t>Label honesty</t>
        </is>
      </c>
      <c r="F60" s="15" t="inlineStr">
        <is>
          <t>Not started</t>
        </is>
      </c>
      <c r="G60" s="15" t="n"/>
      <c r="H60" s="15" t="n"/>
    </row>
    <row r="61">
      <c r="A61" s="17" t="inlineStr">
        <is>
          <t>FR-DET-08</t>
        </is>
      </c>
      <c r="B61" s="17" t="inlineStr">
        <is>
          <t>Technique detection</t>
        </is>
      </c>
      <c r="C61" s="17" t="inlineStr">
        <is>
          <t>Lab</t>
        </is>
      </c>
      <c r="D61" s="17" t="inlineStr">
        <is>
          <t>E6 Flags are unique and every exploit is detected</t>
        </is>
      </c>
      <c r="E61" s="17" t="inlineStr">
        <is>
          <t>Activity metadata</t>
        </is>
      </c>
      <c r="F61" s="15" t="inlineStr">
        <is>
          <t>Not started</t>
        </is>
      </c>
      <c r="G61" s="15" t="n"/>
      <c r="H61" s="15" t="n"/>
    </row>
    <row r="62">
      <c r="A62" s="17" t="inlineStr">
        <is>
          <t>FR-DET-09</t>
        </is>
      </c>
      <c r="B62" s="17" t="inlineStr">
        <is>
          <t>Technique detection</t>
        </is>
      </c>
      <c r="C62" s="17" t="inlineStr">
        <is>
          <t>Lab</t>
        </is>
      </c>
      <c r="D62" s="17" t="inlineStr">
        <is>
          <t>E6 Flags are unique and every exploit is detected</t>
        </is>
      </c>
      <c r="E62" s="17" t="inlineStr">
        <is>
          <t>Bot visit evidence</t>
        </is>
      </c>
      <c r="F62" s="15" t="inlineStr">
        <is>
          <t>Not started</t>
        </is>
      </c>
      <c r="G62" s="15" t="n"/>
      <c r="H62" s="15" t="n"/>
    </row>
    <row r="63">
      <c r="A63" s="17" t="inlineStr">
        <is>
          <t>FR-DSH-01</t>
        </is>
      </c>
      <c r="B63" s="17" t="inlineStr">
        <is>
          <t>Dashboards</t>
        </is>
      </c>
      <c r="C63" s="17" t="inlineStr">
        <is>
          <t>Platform</t>
        </is>
      </c>
      <c r="D63" s="17" t="inlineStr">
        <is>
          <t>E8 Four role dashboards and data export</t>
        </is>
      </c>
      <c r="E63" s="17" t="inlineStr">
        <is>
          <t>Learner dashboard</t>
        </is>
      </c>
      <c r="F63" s="15" t="inlineStr">
        <is>
          <t>Not started</t>
        </is>
      </c>
      <c r="G63" s="15" t="n"/>
      <c r="H63" s="15" t="n"/>
    </row>
    <row r="64">
      <c r="A64" s="17" t="inlineStr">
        <is>
          <t>FR-DSH-02</t>
        </is>
      </c>
      <c r="B64" s="17" t="inlineStr">
        <is>
          <t>Dashboards</t>
        </is>
      </c>
      <c r="C64" s="17" t="inlineStr">
        <is>
          <t>Platform</t>
        </is>
      </c>
      <c r="D64" s="17" t="inlineStr">
        <is>
          <t>E8 Four role dashboards and data export</t>
        </is>
      </c>
      <c r="E64" s="17" t="inlineStr">
        <is>
          <t>Recruiter dashboard</t>
        </is>
      </c>
      <c r="F64" s="15" t="inlineStr">
        <is>
          <t>Not started</t>
        </is>
      </c>
      <c r="G64" s="15" t="n"/>
      <c r="H64" s="15" t="n"/>
    </row>
    <row r="65">
      <c r="A65" s="17" t="inlineStr">
        <is>
          <t>FR-DSH-03</t>
        </is>
      </c>
      <c r="B65" s="17" t="inlineStr">
        <is>
          <t>Dashboards</t>
        </is>
      </c>
      <c r="C65" s="17" t="inlineStr">
        <is>
          <t>Platform</t>
        </is>
      </c>
      <c r="D65" s="17" t="inlineStr">
        <is>
          <t>E8 Four role dashboards and data export</t>
        </is>
      </c>
      <c r="E65" s="17" t="inlineStr">
        <is>
          <t>Recruiter live monitor</t>
        </is>
      </c>
      <c r="F65" s="15" t="inlineStr">
        <is>
          <t>Not started</t>
        </is>
      </c>
      <c r="G65" s="15" t="n"/>
      <c r="H65" s="15" t="n"/>
    </row>
    <row r="66">
      <c r="A66" s="17" t="inlineStr">
        <is>
          <t>FR-DSH-04</t>
        </is>
      </c>
      <c r="B66" s="17" t="inlineStr">
        <is>
          <t>Dashboards</t>
        </is>
      </c>
      <c r="C66" s="17" t="inlineStr">
        <is>
          <t>Platform</t>
        </is>
      </c>
      <c r="D66" s="17" t="inlineStr">
        <is>
          <t>E8 Four role dashboards and data export</t>
        </is>
      </c>
      <c r="E66" s="17" t="inlineStr">
        <is>
          <t>Candidate dashboard</t>
        </is>
      </c>
      <c r="F66" s="15" t="inlineStr">
        <is>
          <t>Not started</t>
        </is>
      </c>
      <c r="G66" s="15" t="n"/>
      <c r="H66" s="15" t="n"/>
    </row>
    <row r="67">
      <c r="A67" s="17" t="inlineStr">
        <is>
          <t>FR-DSH-05</t>
        </is>
      </c>
      <c r="B67" s="17" t="inlineStr">
        <is>
          <t>Dashboards</t>
        </is>
      </c>
      <c r="C67" s="17" t="inlineStr">
        <is>
          <t>Platform</t>
        </is>
      </c>
      <c r="D67" s="17" t="inlineStr">
        <is>
          <t>E8 Four role dashboards and data export</t>
        </is>
      </c>
      <c r="E67" s="17" t="inlineStr">
        <is>
          <t>Admin dashboard</t>
        </is>
      </c>
      <c r="F67" s="15" t="inlineStr">
        <is>
          <t>Not started</t>
        </is>
      </c>
      <c r="G67" s="15" t="n"/>
      <c r="H67" s="15" t="n"/>
    </row>
    <row r="68">
      <c r="A68" s="17" t="inlineStr">
        <is>
          <t>FR-DSH-06</t>
        </is>
      </c>
      <c r="B68" s="17" t="inlineStr">
        <is>
          <t>Dashboards</t>
        </is>
      </c>
      <c r="C68" s="17" t="inlineStr">
        <is>
          <t>Platform</t>
        </is>
      </c>
      <c r="D68" s="17" t="inlineStr">
        <is>
          <t>E8 Four role dashboards and data export</t>
        </is>
      </c>
      <c r="E68" s="17" t="inlineStr">
        <is>
          <t>Privacy wall in every view</t>
        </is>
      </c>
      <c r="F68" s="15" t="inlineStr">
        <is>
          <t>Not started</t>
        </is>
      </c>
      <c r="G68" s="15" t="n"/>
      <c r="H68" s="15" t="n"/>
    </row>
    <row r="69">
      <c r="A69" s="17" t="inlineStr">
        <is>
          <t>FR-EXP-01</t>
        </is>
      </c>
      <c r="B69" s="17" t="inlineStr">
        <is>
          <t>Results export</t>
        </is>
      </c>
      <c r="C69" s="17" t="inlineStr">
        <is>
          <t>Platform</t>
        </is>
      </c>
      <c r="D69" s="17" t="inlineStr">
        <is>
          <t>E8 Four role dashboards and data export</t>
        </is>
      </c>
      <c r="E69" s="17" t="inlineStr">
        <is>
          <t>Candidate export</t>
        </is>
      </c>
      <c r="F69" s="15" t="inlineStr">
        <is>
          <t>Not started</t>
        </is>
      </c>
      <c r="G69" s="15" t="n"/>
      <c r="H69" s="15" t="n"/>
    </row>
    <row r="70">
      <c r="A70" s="17" t="inlineStr">
        <is>
          <t>FR-EXP-02</t>
        </is>
      </c>
      <c r="B70" s="17" t="inlineStr">
        <is>
          <t>Results export</t>
        </is>
      </c>
      <c r="C70" s="17" t="inlineStr">
        <is>
          <t>Platform</t>
        </is>
      </c>
      <c r="D70" s="17" t="inlineStr">
        <is>
          <t>E8 Four role dashboards and data export</t>
        </is>
      </c>
      <c r="E70" s="17" t="inlineStr">
        <is>
          <t>Learner export</t>
        </is>
      </c>
      <c r="F70" s="15" t="inlineStr">
        <is>
          <t>Not started</t>
        </is>
      </c>
      <c r="G70" s="15" t="n"/>
      <c r="H70" s="15" t="n"/>
    </row>
    <row r="71">
      <c r="A71" s="17" t="inlineStr">
        <is>
          <t>FR-EXP-03</t>
        </is>
      </c>
      <c r="B71" s="17" t="inlineStr">
        <is>
          <t>Results export</t>
        </is>
      </c>
      <c r="C71" s="17" t="inlineStr">
        <is>
          <t>Platform</t>
        </is>
      </c>
      <c r="D71" s="17" t="inlineStr">
        <is>
          <t>E8 Four role dashboards and data export</t>
        </is>
      </c>
      <c r="E71" s="17" t="inlineStr">
        <is>
          <t>Recruiter export of results</t>
        </is>
      </c>
      <c r="F71" s="15" t="inlineStr">
        <is>
          <t>Not started</t>
        </is>
      </c>
      <c r="G71" s="15" t="n"/>
      <c r="H71" s="15" t="n"/>
    </row>
    <row r="72">
      <c r="A72" s="17" t="inlineStr">
        <is>
          <t>FR-EXP-04</t>
        </is>
      </c>
      <c r="B72" s="17" t="inlineStr">
        <is>
          <t>Results export</t>
        </is>
      </c>
      <c r="C72" s="17" t="inlineStr">
        <is>
          <t>Platform</t>
        </is>
      </c>
      <c r="D72" s="17" t="inlineStr">
        <is>
          <t>E8 Four role dashboards and data export</t>
        </is>
      </c>
      <c r="E72" s="17" t="inlineStr">
        <is>
          <t>Exports are audited</t>
        </is>
      </c>
      <c r="F72" s="15" t="inlineStr">
        <is>
          <t>Not started</t>
        </is>
      </c>
      <c r="G72" s="15" t="n"/>
      <c r="H72" s="15" t="n"/>
    </row>
    <row r="73">
      <c r="A73" s="17" t="inlineStr">
        <is>
          <t>FR-FLG-01</t>
        </is>
      </c>
      <c r="B73" s="17" t="inlineStr">
        <is>
          <t>Flags</t>
        </is>
      </c>
      <c r="C73" s="17" t="inlineStr">
        <is>
          <t>Lab</t>
        </is>
      </c>
      <c r="D73" s="17" t="inlineStr">
        <is>
          <t>E6 Flags are unique and every exploit is detected</t>
        </is>
      </c>
      <c r="E73" s="17" t="inlineStr">
        <is>
          <t>Unique flags per instance</t>
        </is>
      </c>
      <c r="F73" s="15" t="inlineStr">
        <is>
          <t>Not started</t>
        </is>
      </c>
      <c r="G73" s="15" t="n"/>
      <c r="H73" s="15" t="n"/>
    </row>
    <row r="74">
      <c r="A74" s="17" t="inlineStr">
        <is>
          <t>FR-FLG-02</t>
        </is>
      </c>
      <c r="B74" s="17" t="inlineStr">
        <is>
          <t>Flags</t>
        </is>
      </c>
      <c r="C74" s="17" t="inlineStr">
        <is>
          <t>Lab</t>
        </is>
      </c>
      <c r="D74" s="17" t="inlineStr">
        <is>
          <t>E6 Flags are unique and every exploit is detected</t>
        </is>
      </c>
      <c r="E74" s="17" t="inlineStr">
        <is>
          <t>Derived and verifiable flags</t>
        </is>
      </c>
      <c r="F74" s="15" t="inlineStr">
        <is>
          <t>Not started</t>
        </is>
      </c>
      <c r="G74" s="15" t="n"/>
      <c r="H74" s="15" t="n"/>
    </row>
    <row r="75">
      <c r="A75" s="17" t="inlineStr">
        <is>
          <t>FR-FLG-03</t>
        </is>
      </c>
      <c r="B75" s="17" t="inlineStr">
        <is>
          <t>Flags</t>
        </is>
      </c>
      <c r="C75" s="17" t="inlineStr">
        <is>
          <t>Lab</t>
        </is>
      </c>
      <c r="D75" s="17" t="inlineStr">
        <is>
          <t>E6 Flags are unique and every exploit is detected</t>
        </is>
      </c>
      <c r="E75" s="17" t="inlineStr">
        <is>
          <t>Injection at runtime</t>
        </is>
      </c>
      <c r="F75" s="15" t="inlineStr">
        <is>
          <t>Not started</t>
        </is>
      </c>
      <c r="G75" s="15" t="n"/>
      <c r="H75" s="15" t="n"/>
    </row>
    <row r="76">
      <c r="A76" s="17" t="inlineStr">
        <is>
          <t>FR-FLG-04</t>
        </is>
      </c>
      <c r="B76" s="17" t="inlineStr">
        <is>
          <t>Flags</t>
        </is>
      </c>
      <c r="C76" s="17" t="inlineStr">
        <is>
          <t>Lab</t>
        </is>
      </c>
      <c r="D76" s="17" t="inlineStr">
        <is>
          <t>E6 Flags are unique and every exploit is detected</t>
        </is>
      </c>
      <c r="E76" s="17" t="inlineStr">
        <is>
          <t>Automatic capture</t>
        </is>
      </c>
      <c r="F76" s="15" t="inlineStr">
        <is>
          <t>Not started</t>
        </is>
      </c>
      <c r="G76" s="15" t="n"/>
      <c r="H76" s="15" t="n"/>
    </row>
    <row r="77">
      <c r="A77" s="17" t="inlineStr">
        <is>
          <t>FR-FLG-05</t>
        </is>
      </c>
      <c r="B77" s="17" t="inlineStr">
        <is>
          <t>Flags</t>
        </is>
      </c>
      <c r="C77" s="17" t="inlineStr">
        <is>
          <t>Lab</t>
        </is>
      </c>
      <c r="D77" s="17" t="inlineStr">
        <is>
          <t>E6 Flags are unique and every exploit is detected</t>
        </is>
      </c>
      <c r="E77" s="17" t="inlineStr">
        <is>
          <t>Paste submission</t>
        </is>
      </c>
      <c r="F77" s="15" t="inlineStr">
        <is>
          <t>Not started</t>
        </is>
      </c>
      <c r="G77" s="15" t="n"/>
      <c r="H77" s="15" t="n"/>
    </row>
    <row r="78">
      <c r="A78" s="17" t="inlineStr">
        <is>
          <t>FR-FLG-06</t>
        </is>
      </c>
      <c r="B78" s="17" t="inlineStr">
        <is>
          <t>Flags</t>
        </is>
      </c>
      <c r="C78" s="17" t="inlineStr">
        <is>
          <t>Lab</t>
        </is>
      </c>
      <c r="D78" s="17" t="inlineStr">
        <is>
          <t>E6 Flags are unique and every exploit is detected</t>
        </is>
      </c>
      <c r="E78" s="17" t="inlineStr">
        <is>
          <t>Flags that leave by hidden channels</t>
        </is>
      </c>
      <c r="F78" s="15" t="inlineStr">
        <is>
          <t>Not started</t>
        </is>
      </c>
      <c r="G78" s="15" t="n"/>
      <c r="H78" s="15" t="n"/>
    </row>
    <row r="79">
      <c r="A79" s="17" t="inlineStr">
        <is>
          <t>FR-FLG-07</t>
        </is>
      </c>
      <c r="B79" s="17" t="inlineStr">
        <is>
          <t>Flags</t>
        </is>
      </c>
      <c r="C79" s="17" t="inlineStr">
        <is>
          <t>Lab</t>
        </is>
      </c>
      <c r="D79" s="17" t="inlineStr">
        <is>
          <t>E6 Flags are unique and every exploit is detected</t>
        </is>
      </c>
      <c r="E79" s="17" t="inlineStr">
        <is>
          <t>Decoy flags</t>
        </is>
      </c>
      <c r="F79" s="15" t="inlineStr">
        <is>
          <t>Not started</t>
        </is>
      </c>
      <c r="G79" s="15" t="n"/>
      <c r="H79" s="15" t="n"/>
    </row>
    <row r="80">
      <c r="A80" s="17" t="inlineStr">
        <is>
          <t>FR-FLG-08</t>
        </is>
      </c>
      <c r="B80" s="17" t="inlineStr">
        <is>
          <t>Flags</t>
        </is>
      </c>
      <c r="C80" s="17" t="inlineStr">
        <is>
          <t>Lab</t>
        </is>
      </c>
      <c r="D80" s="17" t="inlineStr">
        <is>
          <t>E6 Flags are unique and every exploit is detected</t>
        </is>
      </c>
      <c r="E80" s="17" t="inlineStr">
        <is>
          <t>Flag secrecy</t>
        </is>
      </c>
      <c r="F80" s="15" t="inlineStr">
        <is>
          <t>Not started</t>
        </is>
      </c>
      <c r="G80" s="15" t="n"/>
      <c r="H80" s="15" t="n"/>
    </row>
    <row r="81">
      <c r="A81" s="17" t="inlineStr">
        <is>
          <t>FR-FLG-09</t>
        </is>
      </c>
      <c r="B81" s="17" t="inlineStr">
        <is>
          <t>Flags</t>
        </is>
      </c>
      <c r="C81" s="17" t="inlineStr">
        <is>
          <t>Lab</t>
        </is>
      </c>
      <c r="D81" s="17" t="inlineStr">
        <is>
          <t>E6 Flags are unique and every exploit is detected</t>
        </is>
      </c>
      <c r="E81" s="17" t="inlineStr">
        <is>
          <t>Sharing signal</t>
        </is>
      </c>
      <c r="F81" s="15" t="inlineStr">
        <is>
          <t>Not started</t>
        </is>
      </c>
      <c r="G81" s="15" t="n"/>
      <c r="H81" s="15" t="n"/>
    </row>
    <row r="82">
      <c r="A82" s="17" t="inlineStr">
        <is>
          <t>FR-HNT-01</t>
        </is>
      </c>
      <c r="B82" s="17" t="inlineStr">
        <is>
          <t>Hints</t>
        </is>
      </c>
      <c r="C82" s="17" t="inlineStr">
        <is>
          <t>Platform</t>
        </is>
      </c>
      <c r="D82" s="17" t="inlineStr">
        <is>
          <t>E8 Four role dashboards and data export</t>
        </is>
      </c>
      <c r="E82" s="17" t="inlineStr">
        <is>
          <t>Learner hints</t>
        </is>
      </c>
      <c r="F82" s="15" t="inlineStr">
        <is>
          <t>Not started</t>
        </is>
      </c>
      <c r="G82" s="15" t="n"/>
      <c r="H82" s="15" t="n"/>
    </row>
    <row r="83">
      <c r="A83" s="17" t="inlineStr">
        <is>
          <t>FR-HNT-02</t>
        </is>
      </c>
      <c r="B83" s="17" t="inlineStr">
        <is>
          <t>Hints</t>
        </is>
      </c>
      <c r="C83" s="17" t="inlineStr">
        <is>
          <t>Platform</t>
        </is>
      </c>
      <c r="D83" s="17" t="inlineStr">
        <is>
          <t>E8 Four role dashboards and data export</t>
        </is>
      </c>
      <c r="E83" s="17" t="inlineStr">
        <is>
          <t>Candidate hints off by default</t>
        </is>
      </c>
      <c r="F83" s="15" t="inlineStr">
        <is>
          <t>Not started</t>
        </is>
      </c>
      <c r="G83" s="15" t="n"/>
      <c r="H83" s="15" t="n"/>
    </row>
    <row r="84">
      <c r="A84" s="17" t="inlineStr">
        <is>
          <t>FR-HNT-03</t>
        </is>
      </c>
      <c r="B84" s="17" t="inlineStr">
        <is>
          <t>Hints</t>
        </is>
      </c>
      <c r="C84" s="17" t="inlineStr">
        <is>
          <t>Platform</t>
        </is>
      </c>
      <c r="D84" s="17" t="inlineStr">
        <is>
          <t>E8 Four role dashboards and data export</t>
        </is>
      </c>
      <c r="E84" s="17" t="inlineStr">
        <is>
          <t>Recruiter sees hints used</t>
        </is>
      </c>
      <c r="F84" s="15" t="inlineStr">
        <is>
          <t>Not started</t>
        </is>
      </c>
      <c r="G84" s="15" t="n"/>
      <c r="H84" s="15" t="n"/>
    </row>
    <row r="85">
      <c r="A85" s="17" t="inlineStr">
        <is>
          <t>FR-INS-01</t>
        </is>
      </c>
      <c r="B85" s="17" t="inlineStr">
        <is>
          <t>Instance lifecycle</t>
        </is>
      </c>
      <c r="C85" s="17" t="inlineStr">
        <is>
          <t>Lab</t>
        </is>
      </c>
      <c r="D85" s="17" t="inlineStr">
        <is>
          <t>E3 Instances start, run, reset and clean up reliably</t>
        </is>
      </c>
      <c r="E85" s="17" t="inlineStr">
        <is>
          <t>Provision on request</t>
        </is>
      </c>
      <c r="F85" s="15" t="inlineStr">
        <is>
          <t>Not started</t>
        </is>
      </c>
      <c r="G85" s="15" t="n"/>
      <c r="H85" s="15" t="n"/>
    </row>
    <row r="86">
      <c r="A86" s="17" t="inlineStr">
        <is>
          <t>FR-INS-02</t>
        </is>
      </c>
      <c r="B86" s="17" t="inlineStr">
        <is>
          <t>Instance lifecycle</t>
        </is>
      </c>
      <c r="C86" s="17" t="inlineStr">
        <is>
          <t>Lab</t>
        </is>
      </c>
      <c r="D86" s="17" t="inlineStr">
        <is>
          <t>E3 Instances start, run, reset and clean up reliably</t>
        </is>
      </c>
      <c r="E86" s="17" t="inlineStr">
        <is>
          <t>What an instance contains</t>
        </is>
      </c>
      <c r="F86" s="15" t="inlineStr">
        <is>
          <t>Not started</t>
        </is>
      </c>
      <c r="G86" s="15" t="n"/>
      <c r="H86" s="15" t="n"/>
    </row>
    <row r="87">
      <c r="A87" s="17" t="inlineStr">
        <is>
          <t>FR-INS-03</t>
        </is>
      </c>
      <c r="B87" s="17" t="inlineStr">
        <is>
          <t>Instance lifecycle</t>
        </is>
      </c>
      <c r="C87" s="17" t="inlineStr">
        <is>
          <t>Lab</t>
        </is>
      </c>
      <c r="D87" s="17" t="inlineStr">
        <is>
          <t>E3 Instances start, run, reset and clean up reliably</t>
        </is>
      </c>
      <c r="E87" s="17" t="inlineStr">
        <is>
          <t>Timing defaults</t>
        </is>
      </c>
      <c r="F87" s="15" t="inlineStr">
        <is>
          <t>Not started</t>
        </is>
      </c>
      <c r="G87" s="15" t="n"/>
      <c r="H87" s="15" t="n"/>
    </row>
    <row r="88">
      <c r="A88" s="17" t="inlineStr">
        <is>
          <t>FR-INS-04</t>
        </is>
      </c>
      <c r="B88" s="17" t="inlineStr">
        <is>
          <t>Instance lifecycle</t>
        </is>
      </c>
      <c r="C88" s="17" t="inlineStr">
        <is>
          <t>Lab</t>
        </is>
      </c>
      <c r="D88" s="17" t="inlineStr">
        <is>
          <t>E3 Instances start, run, reset and clean up reliably</t>
        </is>
      </c>
      <c r="E88" s="17" t="inlineStr">
        <is>
          <t>Reset</t>
        </is>
      </c>
      <c r="F88" s="15" t="inlineStr">
        <is>
          <t>Not started</t>
        </is>
      </c>
      <c r="G88" s="15" t="n"/>
      <c r="H88" s="15" t="n"/>
    </row>
    <row r="89">
      <c r="A89" s="17" t="inlineStr">
        <is>
          <t>FR-INS-05</t>
        </is>
      </c>
      <c r="B89" s="17" t="inlineStr">
        <is>
          <t>Instance lifecycle</t>
        </is>
      </c>
      <c r="C89" s="17" t="inlineStr">
        <is>
          <t>Lab</t>
        </is>
      </c>
      <c r="D89" s="17" t="inlineStr">
        <is>
          <t>E3 Instances start, run, reset and clean up reliably</t>
        </is>
      </c>
      <c r="E89" s="17" t="inlineStr">
        <is>
          <t>Teardown and clean-up</t>
        </is>
      </c>
      <c r="F89" s="15" t="inlineStr">
        <is>
          <t>Not started</t>
        </is>
      </c>
      <c r="G89" s="15" t="n"/>
      <c r="H89" s="15" t="n"/>
    </row>
    <row r="90">
      <c r="A90" s="17" t="inlineStr">
        <is>
          <t>FR-INS-06</t>
        </is>
      </c>
      <c r="B90" s="17" t="inlineStr">
        <is>
          <t>Instance lifecycle</t>
        </is>
      </c>
      <c r="C90" s="17" t="inlineStr">
        <is>
          <t>Lab</t>
        </is>
      </c>
      <c r="D90" s="17" t="inlineStr">
        <is>
          <t>E3 Instances start, run, reset and clean up reliably</t>
        </is>
      </c>
      <c r="E90" s="17" t="inlineStr">
        <is>
          <t>Concurrency without manual work</t>
        </is>
      </c>
      <c r="F90" s="15" t="inlineStr">
        <is>
          <t>Not started</t>
        </is>
      </c>
      <c r="G90" s="15" t="n"/>
      <c r="H90" s="15" t="n"/>
    </row>
    <row r="91">
      <c r="A91" s="17" t="inlineStr">
        <is>
          <t>FR-INS-07</t>
        </is>
      </c>
      <c r="B91" s="17" t="inlineStr">
        <is>
          <t>Instance lifecycle</t>
        </is>
      </c>
      <c r="C91" s="17" t="inlineStr">
        <is>
          <t>Lab</t>
        </is>
      </c>
      <c r="D91" s="17" t="inlineStr">
        <is>
          <t>E3 Instances start, run, reset and clean up reliably</t>
        </is>
      </c>
      <c r="E91" s="17" t="inlineStr">
        <is>
          <t>Instance state machine</t>
        </is>
      </c>
      <c r="F91" s="15" t="inlineStr">
        <is>
          <t>Not started</t>
        </is>
      </c>
      <c r="G91" s="15" t="n"/>
      <c r="H91" s="15" t="n"/>
    </row>
    <row r="92">
      <c r="A92" s="17" t="inlineStr">
        <is>
          <t>FR-INS-08</t>
        </is>
      </c>
      <c r="B92" s="17" t="inlineStr">
        <is>
          <t>Instance lifecycle</t>
        </is>
      </c>
      <c r="C92" s="17" t="inlineStr">
        <is>
          <t>Lab</t>
        </is>
      </c>
      <c r="D92" s="17" t="inlineStr">
        <is>
          <t>E3 Instances start, run, reset and clean up reliably</t>
        </is>
      </c>
      <c r="E92" s="17" t="inlineStr">
        <is>
          <t>Start failure handling</t>
        </is>
      </c>
      <c r="F92" s="15" t="inlineStr">
        <is>
          <t>Not started</t>
        </is>
      </c>
      <c r="G92" s="15" t="n"/>
      <c r="H92" s="15" t="n"/>
    </row>
    <row r="93">
      <c r="A93" s="17" t="inlineStr">
        <is>
          <t>FR-INS-09</t>
        </is>
      </c>
      <c r="B93" s="17" t="inlineStr">
        <is>
          <t>Instance lifecycle</t>
        </is>
      </c>
      <c r="C93" s="17" t="inlineStr">
        <is>
          <t>Lab</t>
        </is>
      </c>
      <c r="D93" s="17" t="inlineStr">
        <is>
          <t>E3 Instances start, run, reset and clean up reliably</t>
        </is>
      </c>
      <c r="E93" s="17" t="inlineStr">
        <is>
          <t>Warm pool only if needed</t>
        </is>
      </c>
      <c r="F93" s="15" t="inlineStr">
        <is>
          <t>Not started</t>
        </is>
      </c>
      <c r="G93" s="15" t="n"/>
      <c r="H93" s="15" t="n"/>
    </row>
    <row r="94">
      <c r="A94" s="17" t="inlineStr">
        <is>
          <t>FR-INS-10</t>
        </is>
      </c>
      <c r="B94" s="17" t="inlineStr">
        <is>
          <t>Instance lifecycle</t>
        </is>
      </c>
      <c r="C94" s="17" t="inlineStr">
        <is>
          <t>Lab</t>
        </is>
      </c>
      <c r="D94" s="17" t="inlineStr">
        <is>
          <t>E5 Only the owner reaches an instance, and events reach the platform</t>
        </is>
      </c>
      <c r="E94" s="17" t="inlineStr">
        <is>
          <t>Instance access</t>
        </is>
      </c>
      <c r="F94" s="15" t="inlineStr">
        <is>
          <t>Not started</t>
        </is>
      </c>
      <c r="G94" s="15" t="n"/>
      <c r="H94" s="15" t="n"/>
    </row>
    <row r="95">
      <c r="A95" s="17" t="inlineStr">
        <is>
          <t>FR-INS-11</t>
        </is>
      </c>
      <c r="B95" s="17" t="inlineStr">
        <is>
          <t>Instance lifecycle</t>
        </is>
      </c>
      <c r="C95" s="17" t="inlineStr">
        <is>
          <t>Lab</t>
        </is>
      </c>
      <c r="D95" s="17" t="inlineStr">
        <is>
          <t>E3 Instances start, run, reset and clean up reliably</t>
        </is>
      </c>
      <c r="E95" s="17" t="inlineStr">
        <is>
          <t>Shop health and late flag injection</t>
        </is>
      </c>
      <c r="F95" s="15" t="inlineStr">
        <is>
          <t>Not started</t>
        </is>
      </c>
      <c r="G95" s="15" t="n"/>
      <c r="H95" s="15" t="n"/>
    </row>
    <row r="96">
      <c r="A96" s="17" t="inlineStr">
        <is>
          <t>FR-LIV-01</t>
        </is>
      </c>
      <c r="B96" s="17" t="inlineStr">
        <is>
          <t>Live updates</t>
        </is>
      </c>
      <c r="C96" s="17" t="inlineStr">
        <is>
          <t>Platform</t>
        </is>
      </c>
      <c r="D96" s="17" t="inlineStr">
        <is>
          <t>E7 Everything on the dashboards is live</t>
        </is>
      </c>
      <c r="E96" s="17" t="inlineStr">
        <is>
          <t>SSE streams</t>
        </is>
      </c>
      <c r="F96" s="15" t="inlineStr">
        <is>
          <t>Not started</t>
        </is>
      </c>
      <c r="G96" s="15" t="n"/>
      <c r="H96" s="15" t="n"/>
    </row>
    <row r="97">
      <c r="A97" s="17" t="inlineStr">
        <is>
          <t>FR-LIV-02</t>
        </is>
      </c>
      <c r="B97" s="17" t="inlineStr">
        <is>
          <t>Live updates</t>
        </is>
      </c>
      <c r="C97" s="17" t="inlineStr">
        <is>
          <t>Platform</t>
        </is>
      </c>
      <c r="D97" s="17" t="inlineStr">
        <is>
          <t>E7 Everything on the dashboards is live</t>
        </is>
      </c>
      <c r="E97" s="17" t="inlineStr">
        <is>
          <t>Heartbeat and no buffering</t>
        </is>
      </c>
      <c r="F97" s="15" t="inlineStr">
        <is>
          <t>Not started</t>
        </is>
      </c>
      <c r="G97" s="15" t="n"/>
      <c r="H97" s="15" t="n"/>
    </row>
    <row r="98">
      <c r="A98" s="17" t="inlineStr">
        <is>
          <t>FR-LIV-03</t>
        </is>
      </c>
      <c r="B98" s="17" t="inlineStr">
        <is>
          <t>Live updates</t>
        </is>
      </c>
      <c r="C98" s="17" t="inlineStr">
        <is>
          <t>Platform</t>
        </is>
      </c>
      <c r="D98" s="17" t="inlineStr">
        <is>
          <t>E7 Everything on the dashboards is live</t>
        </is>
      </c>
      <c r="E98" s="17" t="inlineStr">
        <is>
          <t>HTTP/2</t>
        </is>
      </c>
      <c r="F98" s="15" t="inlineStr">
        <is>
          <t>Not started</t>
        </is>
      </c>
      <c r="G98" s="15" t="n"/>
      <c r="H98" s="15" t="n"/>
    </row>
    <row r="99">
      <c r="A99" s="17" t="inlineStr">
        <is>
          <t>FR-LIV-04</t>
        </is>
      </c>
      <c r="B99" s="17" t="inlineStr">
        <is>
          <t>Live updates</t>
        </is>
      </c>
      <c r="C99" s="17" t="inlineStr">
        <is>
          <t>Platform</t>
        </is>
      </c>
      <c r="D99" s="17" t="inlineStr">
        <is>
          <t>E7 Everything on the dashboards is live</t>
        </is>
      </c>
      <c r="E99" s="17" t="inlineStr">
        <is>
          <t>Snapshot and polling fallback</t>
        </is>
      </c>
      <c r="F99" s="15" t="inlineStr">
        <is>
          <t>Not started</t>
        </is>
      </c>
      <c r="G99" s="15" t="n"/>
      <c r="H99" s="15" t="n"/>
    </row>
    <row r="100">
      <c r="A100" s="17" t="inlineStr">
        <is>
          <t>FR-LIV-05</t>
        </is>
      </c>
      <c r="B100" s="17" t="inlineStr">
        <is>
          <t>Live updates</t>
        </is>
      </c>
      <c r="C100" s="17" t="inlineStr">
        <is>
          <t>Platform</t>
        </is>
      </c>
      <c r="D100" s="17" t="inlineStr">
        <is>
          <t>E7 Everything on the dashboards is live</t>
        </is>
      </c>
      <c r="E100" s="17" t="inlineStr">
        <is>
          <t>Stream authorisation</t>
        </is>
      </c>
      <c r="F100" s="15" t="inlineStr">
        <is>
          <t>Not started</t>
        </is>
      </c>
      <c r="G100" s="15" t="n"/>
      <c r="H100" s="15" t="n"/>
    </row>
    <row r="101">
      <c r="A101" s="17" t="inlineStr">
        <is>
          <t>FR-LIV-06</t>
        </is>
      </c>
      <c r="B101" s="17" t="inlineStr">
        <is>
          <t>Live updates</t>
        </is>
      </c>
      <c r="C101" s="17" t="inlineStr">
        <is>
          <t>Platform</t>
        </is>
      </c>
      <c r="D101" s="17" t="inlineStr">
        <is>
          <t>E7 Everything on the dashboards is live</t>
        </is>
      </c>
      <c r="E101" s="17" t="inlineStr">
        <is>
          <t>Fan-out path</t>
        </is>
      </c>
      <c r="F101" s="15" t="inlineStr">
        <is>
          <t>Not started</t>
        </is>
      </c>
      <c r="G101" s="15" t="n"/>
      <c r="H101" s="15" t="n"/>
    </row>
    <row r="102">
      <c r="A102" s="17" t="inlineStr">
        <is>
          <t>FR-NTF-01</t>
        </is>
      </c>
      <c r="B102" s="17" t="inlineStr">
        <is>
          <t>Notifications and email</t>
        </is>
      </c>
      <c r="C102" s="17" t="inlineStr">
        <is>
          <t>Platform</t>
        </is>
      </c>
      <c r="D102" s="17" t="inlineStr">
        <is>
          <t>E2 Email works and never loses a message</t>
        </is>
      </c>
      <c r="E102" s="17" t="inlineStr">
        <is>
          <t>Email types</t>
        </is>
      </c>
      <c r="F102" s="15" t="inlineStr">
        <is>
          <t>Not started</t>
        </is>
      </c>
      <c r="G102" s="15" t="n"/>
      <c r="H102" s="15" t="n"/>
    </row>
    <row r="103">
      <c r="A103" s="17" t="inlineStr">
        <is>
          <t>FR-NTF-02</t>
        </is>
      </c>
      <c r="B103" s="17" t="inlineStr">
        <is>
          <t>Notifications and email</t>
        </is>
      </c>
      <c r="C103" s="17" t="inlineStr">
        <is>
          <t>Platform</t>
        </is>
      </c>
      <c r="D103" s="17" t="inlineStr">
        <is>
          <t>E2 Email works and never loses a message</t>
        </is>
      </c>
      <c r="E103" s="17" t="inlineStr">
        <is>
          <t>Outbox and queue</t>
        </is>
      </c>
      <c r="F103" s="15" t="inlineStr">
        <is>
          <t>Not started</t>
        </is>
      </c>
      <c r="G103" s="15" t="n"/>
      <c r="H103" s="15" t="n"/>
    </row>
    <row r="104">
      <c r="A104" s="17" t="inlineStr">
        <is>
          <t>FR-NTF-03</t>
        </is>
      </c>
      <c r="B104" s="17" t="inlineStr">
        <is>
          <t>Notifications and email</t>
        </is>
      </c>
      <c r="C104" s="17" t="inlineStr">
        <is>
          <t>Platform</t>
        </is>
      </c>
      <c r="D104" s="17" t="inlineStr">
        <is>
          <t>E2 Email works and never loses a message</t>
        </is>
      </c>
      <c r="E104" s="17" t="inlineStr">
        <is>
          <t>Email provider</t>
        </is>
      </c>
      <c r="F104" s="15" t="inlineStr">
        <is>
          <t>Not started</t>
        </is>
      </c>
      <c r="G104" s="15" t="n"/>
      <c r="H104" s="15" t="n"/>
    </row>
    <row r="105">
      <c r="A105" s="17" t="inlineStr">
        <is>
          <t>FR-NTF-04</t>
        </is>
      </c>
      <c r="B105" s="17" t="inlineStr">
        <is>
          <t>Notifications and email</t>
        </is>
      </c>
      <c r="C105" s="17" t="inlineStr">
        <is>
          <t>Platform</t>
        </is>
      </c>
      <c r="D105" s="17" t="inlineStr">
        <is>
          <t>E2 Email works and never loses a message</t>
        </is>
      </c>
      <c r="E105" s="17" t="inlineStr">
        <is>
          <t>In-app warnings</t>
        </is>
      </c>
      <c r="F105" s="15" t="inlineStr">
        <is>
          <t>Not started</t>
        </is>
      </c>
      <c r="G105" s="15" t="n"/>
      <c r="H105" s="15" t="n"/>
    </row>
    <row r="106">
      <c r="A106" s="17" t="inlineStr">
        <is>
          <t>FR-ORG-01</t>
        </is>
      </c>
      <c r="B106" s="17" t="inlineStr">
        <is>
          <t>Companies and approval</t>
        </is>
      </c>
      <c r="C106" s="17" t="inlineStr">
        <is>
          <t>Platform</t>
        </is>
      </c>
      <c r="D106" s="17" t="inlineStr">
        <is>
          <t>E5 Recruiters join approved companies</t>
        </is>
      </c>
      <c r="E106" s="17" t="inlineStr">
        <is>
          <t>Recruiter signup</t>
        </is>
      </c>
      <c r="F106" s="15" t="inlineStr">
        <is>
          <t>Not started</t>
        </is>
      </c>
      <c r="G106" s="15" t="n"/>
      <c r="H106" s="15" t="n"/>
    </row>
    <row r="107">
      <c r="A107" s="17" t="inlineStr">
        <is>
          <t>FR-ORG-02</t>
        </is>
      </c>
      <c r="B107" s="17" t="inlineStr">
        <is>
          <t>Companies and approval</t>
        </is>
      </c>
      <c r="C107" s="17" t="inlineStr">
        <is>
          <t>Platform</t>
        </is>
      </c>
      <c r="D107" s="17" t="inlineStr">
        <is>
          <t>E5 Recruiters join approved companies</t>
        </is>
      </c>
      <c r="E107" s="17" t="inlineStr">
        <is>
          <t>Company approval by Admin</t>
        </is>
      </c>
      <c r="F107" s="15" t="inlineStr">
        <is>
          <t>Not started</t>
        </is>
      </c>
      <c r="G107" s="15" t="n"/>
      <c r="H107" s="15" t="n"/>
    </row>
    <row r="108">
      <c r="A108" s="17" t="inlineStr">
        <is>
          <t>FR-ORG-03</t>
        </is>
      </c>
      <c r="B108" s="17" t="inlineStr">
        <is>
          <t>Companies and approval</t>
        </is>
      </c>
      <c r="C108" s="17" t="inlineStr">
        <is>
          <t>Platform</t>
        </is>
      </c>
      <c r="D108" s="17" t="inlineStr">
        <is>
          <t>E5 Recruiters join approved companies</t>
        </is>
      </c>
      <c r="E108" s="17" t="inlineStr">
        <is>
          <t>Colleagues join through the owner</t>
        </is>
      </c>
      <c r="F108" s="15" t="inlineStr">
        <is>
          <t>Not started</t>
        </is>
      </c>
      <c r="G108" s="15" t="n"/>
      <c r="H108" s="15" t="n"/>
    </row>
    <row r="109">
      <c r="A109" s="17" t="inlineStr">
        <is>
          <t>FR-ORG-04</t>
        </is>
      </c>
      <c r="B109" s="17" t="inlineStr">
        <is>
          <t>Companies and approval</t>
        </is>
      </c>
      <c r="C109" s="17" t="inlineStr">
        <is>
          <t>Platform</t>
        </is>
      </c>
      <c r="D109" s="17" t="inlineStr">
        <is>
          <t>E5 Recruiters join approved companies</t>
        </is>
      </c>
      <c r="E109" s="17" t="inlineStr">
        <is>
          <t>Free-email addresses for recruiters</t>
        </is>
      </c>
      <c r="F109" s="15" t="inlineStr">
        <is>
          <t>Not started</t>
        </is>
      </c>
      <c r="G109" s="15" t="n"/>
      <c r="H109" s="15" t="n"/>
    </row>
    <row r="110">
      <c r="A110" s="17" t="inlineStr">
        <is>
          <t>FR-ORG-05</t>
        </is>
      </c>
      <c r="B110" s="17" t="inlineStr">
        <is>
          <t>Companies and approval</t>
        </is>
      </c>
      <c r="C110" s="17" t="inlineStr">
        <is>
          <t>Platform</t>
        </is>
      </c>
      <c r="D110" s="17" t="inlineStr">
        <is>
          <t>E5 Recruiters join approved companies</t>
        </is>
      </c>
      <c r="E110" s="17" t="inlineStr">
        <is>
          <t>Admin controls over companies and recruiters</t>
        </is>
      </c>
      <c r="F110" s="15" t="inlineStr">
        <is>
          <t>Not started</t>
        </is>
      </c>
      <c r="G110" s="15" t="n"/>
      <c r="H110" s="15" t="n"/>
    </row>
    <row r="111">
      <c r="A111" s="17" t="inlineStr">
        <is>
          <t>FR-ORG-06</t>
        </is>
      </c>
      <c r="B111" s="17" t="inlineStr">
        <is>
          <t>Companies and approval</t>
        </is>
      </c>
      <c r="C111" s="17" t="inlineStr">
        <is>
          <t>Platform</t>
        </is>
      </c>
      <c r="D111" s="17" t="inlineStr">
        <is>
          <t>E5 Recruiters join approved companies</t>
        </is>
      </c>
      <c r="E111" s="17" t="inlineStr">
        <is>
          <t>Company scoping of data</t>
        </is>
      </c>
      <c r="F111" s="15" t="inlineStr">
        <is>
          <t>Not started</t>
        </is>
      </c>
      <c r="G111" s="15" t="n"/>
      <c r="H111" s="15" t="n"/>
    </row>
    <row r="112">
      <c r="A112" s="17" t="inlineStr">
        <is>
          <t>FR-ORG-07</t>
        </is>
      </c>
      <c r="B112" s="17" t="inlineStr">
        <is>
          <t>Companies and approval</t>
        </is>
      </c>
      <c r="C112" s="17" t="inlineStr">
        <is>
          <t>Platform</t>
        </is>
      </c>
      <c r="D112" s="17" t="inlineStr">
        <is>
          <t>E5 Recruiters join approved companies</t>
        </is>
      </c>
      <c r="E112" s="17" t="inlineStr">
        <is>
          <t>Data-processing terms</t>
        </is>
      </c>
      <c r="F112" s="15" t="inlineStr">
        <is>
          <t>Not started</t>
        </is>
      </c>
      <c r="G112" s="15" t="n"/>
      <c r="H112" s="15" t="n"/>
    </row>
    <row r="113">
      <c r="A113" s="17" t="inlineStr">
        <is>
          <t>FR-ORG-08</t>
        </is>
      </c>
      <c r="B113" s="17" t="inlineStr">
        <is>
          <t>Companies and approval</t>
        </is>
      </c>
      <c r="C113" s="17" t="inlineStr">
        <is>
          <t>Platform</t>
        </is>
      </c>
      <c r="D113" s="17" t="inlineStr">
        <is>
          <t>E5 Recruiters join approved companies</t>
        </is>
      </c>
      <c r="E113" s="17" t="inlineStr">
        <is>
          <t>Invite caps per company</t>
        </is>
      </c>
      <c r="F113" s="15" t="inlineStr">
        <is>
          <t>Not started</t>
        </is>
      </c>
      <c r="G113" s="15" t="n"/>
      <c r="H113" s="15" t="n"/>
    </row>
    <row r="114">
      <c r="A114" s="17" t="inlineStr">
        <is>
          <t>FR-PRV-01</t>
        </is>
      </c>
      <c r="B114" s="17" t="inlineStr">
        <is>
          <t>Privacy and compliance</t>
        </is>
      </c>
      <c r="C114" s="17" t="inlineStr">
        <is>
          <t>Platform</t>
        </is>
      </c>
      <c r="D114" s="17" t="inlineStr">
        <is>
          <t>E4 Privacy, consent, audit and deletion work as promised</t>
        </is>
      </c>
      <c r="E114" s="17" t="inlineStr">
        <is>
          <t>Consent screen</t>
        </is>
      </c>
      <c r="F114" s="15" t="inlineStr">
        <is>
          <t>Not started</t>
        </is>
      </c>
      <c r="G114" s="15" t="n"/>
      <c r="H114" s="15" t="n"/>
    </row>
    <row r="115">
      <c r="A115" s="17" t="inlineStr">
        <is>
          <t>FR-PRV-02</t>
        </is>
      </c>
      <c r="B115" s="17" t="inlineStr">
        <is>
          <t>Privacy and compliance</t>
        </is>
      </c>
      <c r="C115" s="17" t="inlineStr">
        <is>
          <t>Platform</t>
        </is>
      </c>
      <c r="D115" s="17" t="inlineStr">
        <is>
          <t>E4 Privacy, consent, audit and deletion work as promised</t>
        </is>
      </c>
      <c r="E115" s="17" t="inlineStr">
        <is>
          <t>Consent record</t>
        </is>
      </c>
      <c r="F115" s="15" t="inlineStr">
        <is>
          <t>Not started</t>
        </is>
      </c>
      <c r="G115" s="15" t="n"/>
      <c r="H115" s="15" t="n"/>
    </row>
    <row r="116">
      <c r="A116" s="17" t="inlineStr">
        <is>
          <t>FR-PRV-03</t>
        </is>
      </c>
      <c r="B116" s="17" t="inlineStr">
        <is>
          <t>Privacy and compliance</t>
        </is>
      </c>
      <c r="C116" s="17" t="inlineStr">
        <is>
          <t>Platform</t>
        </is>
      </c>
      <c r="D116" s="17" t="inlineStr">
        <is>
          <t>E4 Privacy, consent, audit and deletion work as promised</t>
        </is>
      </c>
      <c r="E116" s="17" t="inlineStr">
        <is>
          <t>Minimum data</t>
        </is>
      </c>
      <c r="F116" s="15" t="inlineStr">
        <is>
          <t>Not started</t>
        </is>
      </c>
      <c r="G116" s="15" t="n"/>
      <c r="H116" s="15" t="n"/>
    </row>
    <row r="117">
      <c r="A117" s="17" t="inlineStr">
        <is>
          <t>FR-PRV-04</t>
        </is>
      </c>
      <c r="B117" s="17" t="inlineStr">
        <is>
          <t>Privacy and compliance</t>
        </is>
      </c>
      <c r="C117" s="17" t="inlineStr">
        <is>
          <t>Platform</t>
        </is>
      </c>
      <c r="D117" s="17" t="inlineStr">
        <is>
          <t>E4 Privacy, consent, audit and deletion work as promised</t>
        </is>
      </c>
      <c r="E117" s="17" t="inlineStr">
        <is>
          <t>Candidate retention and auto-delete</t>
        </is>
      </c>
      <c r="F117" s="15" t="inlineStr">
        <is>
          <t>Not started</t>
        </is>
      </c>
      <c r="G117" s="15" t="n"/>
      <c r="H117" s="15" t="n"/>
    </row>
    <row r="118">
      <c r="A118" s="17" t="inlineStr">
        <is>
          <t>FR-PRV-05</t>
        </is>
      </c>
      <c r="B118" s="17" t="inlineStr">
        <is>
          <t>Privacy and compliance</t>
        </is>
      </c>
      <c r="C118" s="17" t="inlineStr">
        <is>
          <t>Platform</t>
        </is>
      </c>
      <c r="D118" s="17" t="inlineStr">
        <is>
          <t>E4 Privacy, consent, audit and deletion work as promised</t>
        </is>
      </c>
      <c r="E118" s="17" t="inlineStr">
        <is>
          <t>Learner retention</t>
        </is>
      </c>
      <c r="F118" s="15" t="inlineStr">
        <is>
          <t>Not started</t>
        </is>
      </c>
      <c r="G118" s="15" t="n"/>
      <c r="H118" s="15" t="n"/>
    </row>
    <row r="119">
      <c r="A119" s="17" t="inlineStr">
        <is>
          <t>FR-PRV-06</t>
        </is>
      </c>
      <c r="B119" s="17" t="inlineStr">
        <is>
          <t>Privacy and compliance</t>
        </is>
      </c>
      <c r="C119" s="17" t="inlineStr">
        <is>
          <t>Platform</t>
        </is>
      </c>
      <c r="D119" s="17" t="inlineStr">
        <is>
          <t>E4 Privacy, consent, audit and deletion work as promised</t>
        </is>
      </c>
      <c r="E119" s="17" t="inlineStr">
        <is>
          <t>Evidence and instance data</t>
        </is>
      </c>
      <c r="F119" s="15" t="inlineStr">
        <is>
          <t>Not started</t>
        </is>
      </c>
      <c r="G119" s="15" t="n"/>
      <c r="H119" s="15" t="n"/>
    </row>
    <row r="120">
      <c r="A120" s="17" t="inlineStr">
        <is>
          <t>FR-PRV-07</t>
        </is>
      </c>
      <c r="B120" s="17" t="inlineStr">
        <is>
          <t>Privacy and compliance</t>
        </is>
      </c>
      <c r="C120" s="17" t="inlineStr">
        <is>
          <t>Platform</t>
        </is>
      </c>
      <c r="D120" s="17" t="inlineStr">
        <is>
          <t>E4 Privacy, consent, audit and deletion work as promised</t>
        </is>
      </c>
      <c r="E120" s="17" t="inlineStr">
        <is>
          <t>Controller and processor roles</t>
        </is>
      </c>
      <c r="F120" s="15" t="inlineStr">
        <is>
          <t>Not started</t>
        </is>
      </c>
      <c r="G120" s="15" t="n"/>
      <c r="H120" s="15" t="n"/>
    </row>
    <row r="121">
      <c r="A121" s="17" t="inlineStr">
        <is>
          <t>FR-PRV-08</t>
        </is>
      </c>
      <c r="B121" s="17" t="inlineStr">
        <is>
          <t>Privacy and compliance</t>
        </is>
      </c>
      <c r="C121" s="17" t="inlineStr">
        <is>
          <t>Platform</t>
        </is>
      </c>
      <c r="D121" s="17" t="inlineStr">
        <is>
          <t>E4 Privacy, consent, audit and deletion work as promised</t>
        </is>
      </c>
      <c r="E121" s="17" t="inlineStr">
        <is>
          <t>Deletion workflow</t>
        </is>
      </c>
      <c r="F121" s="15" t="inlineStr">
        <is>
          <t>Not started</t>
        </is>
      </c>
      <c r="G121" s="15" t="n"/>
      <c r="H121" s="15" t="n"/>
    </row>
    <row r="122">
      <c r="A122" s="17" t="inlineStr">
        <is>
          <t>FR-PRV-09</t>
        </is>
      </c>
      <c r="B122" s="17" t="inlineStr">
        <is>
          <t>Privacy and compliance</t>
        </is>
      </c>
      <c r="C122" s="17" t="inlineStr">
        <is>
          <t>Platform</t>
        </is>
      </c>
      <c r="D122" s="17" t="inlineStr">
        <is>
          <t>E4 Privacy, consent, audit and deletion work as promised</t>
        </is>
      </c>
      <c r="E122" s="17" t="inlineStr">
        <is>
          <t>Seven-day undo window</t>
        </is>
      </c>
      <c r="F122" s="15" t="inlineStr">
        <is>
          <t>Not started</t>
        </is>
      </c>
      <c r="G122" s="15" t="n"/>
      <c r="H122" s="15" t="n"/>
    </row>
    <row r="123">
      <c r="A123" s="17" t="inlineStr">
        <is>
          <t>FR-PRV-10</t>
        </is>
      </c>
      <c r="B123" s="17" t="inlineStr">
        <is>
          <t>Privacy and compliance</t>
        </is>
      </c>
      <c r="C123" s="17" t="inlineStr">
        <is>
          <t>Platform</t>
        </is>
      </c>
      <c r="D123" s="17" t="inlineStr">
        <is>
          <t>E4 Privacy, consent, audit and deletion work as promised</t>
        </is>
      </c>
      <c r="E123" s="17" t="inlineStr">
        <is>
          <t>Audit log</t>
        </is>
      </c>
      <c r="F123" s="15" t="inlineStr">
        <is>
          <t>Not started</t>
        </is>
      </c>
      <c r="G123" s="15" t="n"/>
      <c r="H123" s="15" t="n"/>
    </row>
    <row r="124">
      <c r="A124" s="17" t="inlineStr">
        <is>
          <t>FR-PRV-11</t>
        </is>
      </c>
      <c r="B124" s="17" t="inlineStr">
        <is>
          <t>Privacy and compliance</t>
        </is>
      </c>
      <c r="C124" s="17" t="inlineStr">
        <is>
          <t>Platform</t>
        </is>
      </c>
      <c r="D124" s="17" t="inlineStr">
        <is>
          <t>E4 Privacy, consent, audit and deletion work as promised</t>
        </is>
      </c>
      <c r="E124" s="17" t="inlineStr">
        <is>
          <t>Candidate sees who viewed</t>
        </is>
      </c>
      <c r="F124" s="15" t="inlineStr">
        <is>
          <t>Not started</t>
        </is>
      </c>
      <c r="G124" s="15" t="n"/>
      <c r="H124" s="15" t="n"/>
    </row>
    <row r="125">
      <c r="A125" s="17" t="inlineStr">
        <is>
          <t>FR-PRV-12</t>
        </is>
      </c>
      <c r="B125" s="17" t="inlineStr">
        <is>
          <t>Privacy and compliance</t>
        </is>
      </c>
      <c r="C125" s="17" t="inlineStr">
        <is>
          <t>Platform</t>
        </is>
      </c>
      <c r="D125" s="17" t="inlineStr">
        <is>
          <t>E4 Privacy, consent, audit and deletion work as promised</t>
        </is>
      </c>
      <c r="E125" s="17" t="inlineStr">
        <is>
          <t>Encryption and backups</t>
        </is>
      </c>
      <c r="F125" s="15" t="inlineStr">
        <is>
          <t>Not started</t>
        </is>
      </c>
      <c r="G125" s="15" t="n"/>
      <c r="H125" s="15" t="n"/>
    </row>
    <row r="126">
      <c r="A126" s="17" t="inlineStr">
        <is>
          <t>FR-PRV-13</t>
        </is>
      </c>
      <c r="B126" s="17" t="inlineStr">
        <is>
          <t>Privacy and compliance</t>
        </is>
      </c>
      <c r="C126" s="17" t="inlineStr">
        <is>
          <t>Platform</t>
        </is>
      </c>
      <c r="D126" s="17" t="inlineStr">
        <is>
          <t>E4 Privacy, consent, audit and deletion work as promised</t>
        </is>
      </c>
      <c r="E126" s="17" t="inlineStr">
        <is>
          <t>18 and over</t>
        </is>
      </c>
      <c r="F126" s="15" t="inlineStr">
        <is>
          <t>Not started</t>
        </is>
      </c>
      <c r="G126" s="15" t="n"/>
      <c r="H126" s="15" t="n"/>
    </row>
    <row r="127">
      <c r="A127" s="17" t="inlineStr">
        <is>
          <t>FR-PRV-14</t>
        </is>
      </c>
      <c r="B127" s="17" t="inlineStr">
        <is>
          <t>Privacy and compliance</t>
        </is>
      </c>
      <c r="C127" s="17" t="inlineStr">
        <is>
          <t>Platform</t>
        </is>
      </c>
      <c r="D127" s="17" t="inlineStr">
        <is>
          <t>E4 Privacy, consent, audit and deletion work as promised</t>
        </is>
      </c>
      <c r="E127" s="17" t="inlineStr">
        <is>
          <t>IP address and browser details</t>
        </is>
      </c>
      <c r="F127" s="15" t="inlineStr">
        <is>
          <t>Not started</t>
        </is>
      </c>
      <c r="G127" s="15" t="n"/>
      <c r="H127" s="15" t="n"/>
    </row>
    <row r="128">
      <c r="A128" s="17" t="inlineStr">
        <is>
          <t>FR-PRV-15</t>
        </is>
      </c>
      <c r="B128" s="17" t="inlineStr">
        <is>
          <t>Privacy and compliance</t>
        </is>
      </c>
      <c r="C128" s="17" t="inlineStr">
        <is>
          <t>Platform</t>
        </is>
      </c>
      <c r="D128" s="17" t="inlineStr">
        <is>
          <t>E4 Privacy, consent, audit and deletion work as promised</t>
        </is>
      </c>
      <c r="E128" s="17" t="inlineStr">
        <is>
          <t>Security and system logs</t>
        </is>
      </c>
      <c r="F128" s="15" t="inlineStr">
        <is>
          <t>Not started</t>
        </is>
      </c>
      <c r="G128" s="15" t="n"/>
      <c r="H128" s="15" t="n"/>
    </row>
    <row r="129">
      <c r="A129" s="17" t="inlineStr">
        <is>
          <t>FR-PRV-16</t>
        </is>
      </c>
      <c r="B129" s="17" t="inlineStr">
        <is>
          <t>Privacy and compliance</t>
        </is>
      </c>
      <c r="C129" s="17" t="inlineStr">
        <is>
          <t>Platform</t>
        </is>
      </c>
      <c r="D129" s="17" t="inlineStr">
        <is>
          <t>E4 Privacy, consent, audit and deletion work as promised</t>
        </is>
      </c>
      <c r="E129" s="17" t="inlineStr">
        <is>
          <t>D-12 clarification</t>
        </is>
      </c>
      <c r="F129" s="15" t="inlineStr">
        <is>
          <t>Not started</t>
        </is>
      </c>
      <c r="G129" s="15" t="n"/>
      <c r="H129" s="15" t="n"/>
    </row>
    <row r="130">
      <c r="A130" s="17" t="inlineStr">
        <is>
          <t>FR-PRV-17</t>
        </is>
      </c>
      <c r="B130" s="17" t="inlineStr">
        <is>
          <t>Privacy and compliance</t>
        </is>
      </c>
      <c r="C130" s="17" t="inlineStr">
        <is>
          <t>Platform</t>
        </is>
      </c>
      <c r="D130" s="17" t="inlineStr">
        <is>
          <t>E4 Privacy, consent, audit and deletion work as promised</t>
        </is>
      </c>
      <c r="E130" s="17" t="inlineStr">
        <is>
          <t>Synthetic data only</t>
        </is>
      </c>
      <c r="F130" s="15" t="inlineStr">
        <is>
          <t>Not started</t>
        </is>
      </c>
      <c r="G130" s="15" t="n"/>
      <c r="H130" s="15" t="n"/>
    </row>
    <row r="131">
      <c r="A131" s="17" t="inlineStr">
        <is>
          <t>FR-PRV-18</t>
        </is>
      </c>
      <c r="B131" s="17" t="inlineStr">
        <is>
          <t>Privacy and compliance</t>
        </is>
      </c>
      <c r="C131" s="17" t="inlineStr">
        <is>
          <t>Platform</t>
        </is>
      </c>
      <c r="D131" s="17" t="inlineStr">
        <is>
          <t>E4 Privacy, consent, audit and deletion work as promised</t>
        </is>
      </c>
      <c r="E131" s="17" t="inlineStr">
        <is>
          <t>Retention scheduler</t>
        </is>
      </c>
      <c r="F131" s="15" t="inlineStr">
        <is>
          <t>Not started</t>
        </is>
      </c>
      <c r="G131" s="15" t="n"/>
      <c r="H131" s="15" t="n"/>
    </row>
    <row r="132">
      <c r="A132" s="17" t="inlineStr">
        <is>
          <t>FR-PRV-19</t>
        </is>
      </c>
      <c r="B132" s="17" t="inlineStr">
        <is>
          <t>Privacy and compliance</t>
        </is>
      </c>
      <c r="C132" s="17" t="inlineStr">
        <is>
          <t>Platform</t>
        </is>
      </c>
      <c r="D132" s="17" t="inlineStr">
        <is>
          <t>E4 Privacy, consent, audit and deletion work as promised</t>
        </is>
      </c>
      <c r="E132" s="17" t="inlineStr">
        <is>
          <t>Legal review action</t>
        </is>
      </c>
      <c r="F132" s="15" t="inlineStr">
        <is>
          <t>Not started</t>
        </is>
      </c>
      <c r="G132" s="15" t="n"/>
      <c r="H132" s="15" t="n"/>
    </row>
    <row r="133">
      <c r="A133" s="17" t="inlineStr">
        <is>
          <t>FR-PRV-20</t>
        </is>
      </c>
      <c r="B133" s="17" t="inlineStr">
        <is>
          <t>Privacy and compliance</t>
        </is>
      </c>
      <c r="C133" s="17" t="inlineStr">
        <is>
          <t>Platform</t>
        </is>
      </c>
      <c r="D133" s="17" t="inlineStr">
        <is>
          <t>E4 Privacy, consent, audit and deletion work as promised</t>
        </is>
      </c>
      <c r="E133" s="17" t="inlineStr">
        <is>
          <t>Breach and incident handling</t>
        </is>
      </c>
      <c r="F133" s="15" t="inlineStr">
        <is>
          <t>Not started</t>
        </is>
      </c>
      <c r="G133" s="15" t="n"/>
      <c r="H133" s="15" t="n"/>
    </row>
    <row r="134">
      <c r="A134" s="17" t="inlineStr">
        <is>
          <t>FR-SCR-01</t>
        </is>
      </c>
      <c r="B134" s="17" t="inlineStr">
        <is>
          <t>Scoring</t>
        </is>
      </c>
      <c r="C134" s="17" t="inlineStr">
        <is>
          <t>Lab</t>
        </is>
      </c>
      <c r="D134" s="17" t="inlineStr">
        <is>
          <t>E7 Attempts, scores, time and integrity are fair and explainable</t>
        </is>
      </c>
      <c r="E134" s="17" t="inlineStr">
        <is>
          <t>Hiring-mode score formula</t>
        </is>
      </c>
      <c r="F134" s="15" t="inlineStr">
        <is>
          <t>Not started</t>
        </is>
      </c>
      <c r="G134" s="15" t="n"/>
      <c r="H134" s="15" t="n"/>
    </row>
    <row r="135">
      <c r="A135" s="17" t="inlineStr">
        <is>
          <t>FR-SCR-02</t>
        </is>
      </c>
      <c r="B135" s="17" t="inlineStr">
        <is>
          <t>Scoring</t>
        </is>
      </c>
      <c r="C135" s="17" t="inlineStr">
        <is>
          <t>Lab</t>
        </is>
      </c>
      <c r="D135" s="17" t="inlineStr">
        <is>
          <t>E7 Attempts, scores, time and integrity are fair and explainable</t>
        </is>
      </c>
      <c r="E135" s="17" t="inlineStr">
        <is>
          <t>Milestone credit</t>
        </is>
      </c>
      <c r="F135" s="15" t="inlineStr">
        <is>
          <t>Not started</t>
        </is>
      </c>
      <c r="G135" s="15" t="n"/>
      <c r="H135" s="15" t="n"/>
    </row>
    <row r="136">
      <c r="A136" s="17" t="inlineStr">
        <is>
          <t>FR-SCR-03</t>
        </is>
      </c>
      <c r="B136" s="17" t="inlineStr">
        <is>
          <t>Scoring</t>
        </is>
      </c>
      <c r="C136" s="17" t="inlineStr">
        <is>
          <t>Lab</t>
        </is>
      </c>
      <c r="D136" s="17" t="inlineStr">
        <is>
          <t>E7 Attempts, scores, time and integrity are fair and explainable</t>
        </is>
      </c>
      <c r="E136" s="17" t="inlineStr">
        <is>
          <t>Hint cost in the score</t>
        </is>
      </c>
      <c r="F136" s="15" t="inlineStr">
        <is>
          <t>Not started</t>
        </is>
      </c>
      <c r="G136" s="15" t="n"/>
      <c r="H136" s="15" t="n"/>
    </row>
    <row r="137">
      <c r="A137" s="17" t="inlineStr">
        <is>
          <t>FR-SCR-04</t>
        </is>
      </c>
      <c r="B137" s="17" t="inlineStr">
        <is>
          <t>Scoring</t>
        </is>
      </c>
      <c r="C137" s="17" t="inlineStr">
        <is>
          <t>Lab</t>
        </is>
      </c>
      <c r="D137" s="17" t="inlineStr">
        <is>
          <t>E7 Attempts, scores, time and integrity are fair and explainable</t>
        </is>
      </c>
      <c r="E137" s="17" t="inlineStr">
        <is>
          <t>Time is shown, not scored</t>
        </is>
      </c>
      <c r="F137" s="15" t="inlineStr">
        <is>
          <t>Not started</t>
        </is>
      </c>
      <c r="G137" s="15" t="n"/>
      <c r="H137" s="15" t="n"/>
    </row>
    <row r="138">
      <c r="A138" s="17" t="inlineStr">
        <is>
          <t>FR-SCR-05</t>
        </is>
      </c>
      <c r="B138" s="17" t="inlineStr">
        <is>
          <t>Scoring</t>
        </is>
      </c>
      <c r="C138" s="17" t="inlineStr">
        <is>
          <t>Lab</t>
        </is>
      </c>
      <c r="D138" s="17" t="inlineStr">
        <is>
          <t>E7 Attempts, scores, time and integrity are fair and explainable</t>
        </is>
      </c>
      <c r="E138" s="17" t="inlineStr">
        <is>
          <t>No penalty for wrong or decoy submissions</t>
        </is>
      </c>
      <c r="F138" s="15" t="inlineStr">
        <is>
          <t>Not started</t>
        </is>
      </c>
      <c r="G138" s="15" t="n"/>
      <c r="H138" s="15" t="n"/>
    </row>
    <row r="139">
      <c r="A139" s="17" t="inlineStr">
        <is>
          <t>FR-SCR-06</t>
        </is>
      </c>
      <c r="B139" s="17" t="inlineStr">
        <is>
          <t>Scoring</t>
        </is>
      </c>
      <c r="C139" s="17" t="inlineStr">
        <is>
          <t>Lab</t>
        </is>
      </c>
      <c r="D139" s="17" t="inlineStr">
        <is>
          <t>E7 Attempts, scores, time and integrity are fair and explainable</t>
        </is>
      </c>
      <c r="E139" s="17" t="inlineStr">
        <is>
          <t>Learner-mode progress</t>
        </is>
      </c>
      <c r="F139" s="15" t="inlineStr">
        <is>
          <t>Not started</t>
        </is>
      </c>
      <c r="G139" s="15" t="n"/>
      <c r="H139" s="15" t="n"/>
    </row>
    <row r="140">
      <c r="A140" s="17" t="inlineStr">
        <is>
          <t>FR-SCR-07</t>
        </is>
      </c>
      <c r="B140" s="17" t="inlineStr">
        <is>
          <t>Scoring</t>
        </is>
      </c>
      <c r="C140" s="17" t="inlineStr">
        <is>
          <t>Lab</t>
        </is>
      </c>
      <c r="D140" s="17" t="inlineStr">
        <is>
          <t>E7 Attempts, scores, time and integrity are fair and explainable</t>
        </is>
      </c>
      <c r="E140" s="17" t="inlineStr">
        <is>
          <t>No global leaderboard</t>
        </is>
      </c>
      <c r="F140" s="15" t="inlineStr">
        <is>
          <t>Not started</t>
        </is>
      </c>
      <c r="G140" s="15" t="n"/>
      <c r="H140" s="15" t="n"/>
    </row>
    <row r="141">
      <c r="A141" s="17" t="inlineStr">
        <is>
          <t>FR-SCR-08</t>
        </is>
      </c>
      <c r="B141" s="17" t="inlineStr">
        <is>
          <t>Scoring</t>
        </is>
      </c>
      <c r="C141" s="17" t="inlineStr">
        <is>
          <t>Lab</t>
        </is>
      </c>
      <c r="D141" s="17" t="inlineStr">
        <is>
          <t>E7 Attempts, scores, time and integrity are fair and explainable</t>
        </is>
      </c>
      <c r="E141" s="17" t="inlineStr">
        <is>
          <t>Ranking aid</t>
        </is>
      </c>
      <c r="F141" s="15" t="inlineStr">
        <is>
          <t>Not started</t>
        </is>
      </c>
      <c r="G141" s="15" t="n"/>
      <c r="H141" s="15" t="n"/>
    </row>
    <row r="142">
      <c r="A142" s="17" t="inlineStr">
        <is>
          <t>FR-SCR-09</t>
        </is>
      </c>
      <c r="B142" s="17" t="inlineStr">
        <is>
          <t>Scoring</t>
        </is>
      </c>
      <c r="C142" s="17" t="inlineStr">
        <is>
          <t>Lab</t>
        </is>
      </c>
      <c r="D142" s="17" t="inlineStr">
        <is>
          <t>E7 Attempts, scores, time and integrity are fair and explainable</t>
        </is>
      </c>
      <c r="E142" s="17" t="inlineStr">
        <is>
          <t>Server-side scoring</t>
        </is>
      </c>
      <c r="F142" s="15" t="inlineStr">
        <is>
          <t>Not started</t>
        </is>
      </c>
      <c r="G142" s="15" t="n"/>
      <c r="H142" s="15" t="n"/>
    </row>
    <row r="143">
      <c r="A143" s="17" t="inlineStr">
        <is>
          <t>FR-SCR-10</t>
        </is>
      </c>
      <c r="B143" s="17" t="inlineStr">
        <is>
          <t>Scoring</t>
        </is>
      </c>
      <c r="C143" s="17" t="inlineStr">
        <is>
          <t>Lab</t>
        </is>
      </c>
      <c r="D143" s="17" t="inlineStr">
        <is>
          <t>E7 Attempts, scores, time and integrity are fair and explainable</t>
        </is>
      </c>
      <c r="E143" s="17" t="inlineStr">
        <is>
          <t>Held captures excluded until reviewed</t>
        </is>
      </c>
      <c r="F143" s="15" t="inlineStr">
        <is>
          <t>Not started</t>
        </is>
      </c>
      <c r="G143" s="15" t="n"/>
      <c r="H143" s="15" t="n"/>
    </row>
    <row r="144">
      <c r="A144" s="17" t="inlineStr">
        <is>
          <t>FR-SES-01</t>
        </is>
      </c>
      <c r="B144" s="17" t="inlineStr">
        <is>
          <t>Session lifecycle</t>
        </is>
      </c>
      <c r="C144" s="17" t="inlineStr">
        <is>
          <t>Lab</t>
        </is>
      </c>
      <c r="D144" s="17" t="inlineStr">
        <is>
          <t>E7 Attempts, scores, time and integrity are fair and explainable</t>
        </is>
      </c>
      <c r="E144" s="17" t="inlineStr">
        <is>
          <t>Start of an attempt</t>
        </is>
      </c>
      <c r="F144" s="15" t="inlineStr">
        <is>
          <t>Not started</t>
        </is>
      </c>
      <c r="G144" s="15" t="n"/>
      <c r="H144" s="15" t="n"/>
    </row>
    <row r="145">
      <c r="A145" s="17" t="inlineStr">
        <is>
          <t>FR-SES-02</t>
        </is>
      </c>
      <c r="B145" s="17" t="inlineStr">
        <is>
          <t>Session lifecycle</t>
        </is>
      </c>
      <c r="C145" s="17" t="inlineStr">
        <is>
          <t>Lab</t>
        </is>
      </c>
      <c r="D145" s="17" t="inlineStr">
        <is>
          <t>E7 Attempts, scores, time and integrity are fair and explainable</t>
        </is>
      </c>
      <c r="E145" s="17" t="inlineStr">
        <is>
          <t>Server-side clock</t>
        </is>
      </c>
      <c r="F145" s="15" t="inlineStr">
        <is>
          <t>Not started</t>
        </is>
      </c>
      <c r="G145" s="15" t="n"/>
      <c r="H145" s="15" t="n"/>
    </row>
    <row r="146">
      <c r="A146" s="17" t="inlineStr">
        <is>
          <t>FR-SES-03</t>
        </is>
      </c>
      <c r="B146" s="17" t="inlineStr">
        <is>
          <t>Session lifecycle</t>
        </is>
      </c>
      <c r="C146" s="17" t="inlineStr">
        <is>
          <t>Lab</t>
        </is>
      </c>
      <c r="D146" s="17" t="inlineStr">
        <is>
          <t>E7 Attempts, scores, time and integrity are fair and explainable</t>
        </is>
      </c>
      <c r="E146" s="17" t="inlineStr">
        <is>
          <t>Time warnings</t>
        </is>
      </c>
      <c r="F146" s="15" t="inlineStr">
        <is>
          <t>Not started</t>
        </is>
      </c>
      <c r="G146" s="15" t="n"/>
      <c r="H146" s="15" t="n"/>
    </row>
    <row r="147">
      <c r="A147" s="17" t="inlineStr">
        <is>
          <t>FR-SES-04</t>
        </is>
      </c>
      <c r="B147" s="17" t="inlineStr">
        <is>
          <t>Session lifecycle</t>
        </is>
      </c>
      <c r="C147" s="17" t="inlineStr">
        <is>
          <t>Lab</t>
        </is>
      </c>
      <c r="D147" s="17" t="inlineStr">
        <is>
          <t>E7 Attempts, scores, time and integrity are fair and explainable</t>
        </is>
      </c>
      <c r="E147" s="17" t="inlineStr">
        <is>
          <t>Expiry: auto-submit, freeze, destroy</t>
        </is>
      </c>
      <c r="F147" s="15" t="inlineStr">
        <is>
          <t>Not started</t>
        </is>
      </c>
      <c r="G147" s="15" t="n"/>
      <c r="H147" s="15" t="n"/>
    </row>
    <row r="148">
      <c r="A148" s="17" t="inlineStr">
        <is>
          <t>FR-SES-05</t>
        </is>
      </c>
      <c r="B148" s="17" t="inlineStr">
        <is>
          <t>Session lifecycle</t>
        </is>
      </c>
      <c r="C148" s="17" t="inlineStr">
        <is>
          <t>Lab</t>
        </is>
      </c>
      <c r="D148" s="17" t="inlineStr">
        <is>
          <t>E7 Attempts, scores, time and integrity are fair and explainable</t>
        </is>
      </c>
      <c r="E148" s="17" t="inlineStr">
        <is>
          <t>Manual submit</t>
        </is>
      </c>
      <c r="F148" s="15" t="inlineStr">
        <is>
          <t>Not started</t>
        </is>
      </c>
      <c r="G148" s="15" t="n"/>
      <c r="H148" s="15" t="n"/>
    </row>
    <row r="149">
      <c r="A149" s="17" t="inlineStr">
        <is>
          <t>FR-SES-06</t>
        </is>
      </c>
      <c r="B149" s="17" t="inlineStr">
        <is>
          <t>Session lifecycle</t>
        </is>
      </c>
      <c r="C149" s="17" t="inlineStr">
        <is>
          <t>Lab</t>
        </is>
      </c>
      <c r="D149" s="17" t="inlineStr">
        <is>
          <t>E7 Attempts, scores, time and integrity are fair and explainable</t>
        </is>
      </c>
      <c r="E149" s="17" t="inlineStr">
        <is>
          <t>No pause, one attempt</t>
        </is>
      </c>
      <c r="F149" s="15" t="inlineStr">
        <is>
          <t>Not started</t>
        </is>
      </c>
      <c r="G149" s="15" t="n"/>
      <c r="H149" s="15" t="n"/>
    </row>
    <row r="150">
      <c r="A150" s="17" t="inlineStr">
        <is>
          <t>FR-SES-07</t>
        </is>
      </c>
      <c r="B150" s="17" t="inlineStr">
        <is>
          <t>Session lifecycle</t>
        </is>
      </c>
      <c r="C150" s="17" t="inlineStr">
        <is>
          <t>Lab</t>
        </is>
      </c>
      <c r="D150" s="17" t="inlineStr">
        <is>
          <t>E7 Attempts, scores, time and integrity are fair and explainable</t>
        </is>
      </c>
      <c r="E150" s="17" t="inlineStr">
        <is>
          <t>Cancel an attempt</t>
        </is>
      </c>
      <c r="F150" s="15" t="inlineStr">
        <is>
          <t>Not started</t>
        </is>
      </c>
      <c r="G150" s="15" t="n"/>
      <c r="H150" s="15" t="n"/>
    </row>
    <row r="151">
      <c r="A151" s="17" t="inlineStr">
        <is>
          <t>FR-SES-08</t>
        </is>
      </c>
      <c r="B151" s="17" t="inlineStr">
        <is>
          <t>Session lifecycle</t>
        </is>
      </c>
      <c r="C151" s="17" t="inlineStr">
        <is>
          <t>Lab</t>
        </is>
      </c>
      <c r="D151" s="17" t="inlineStr">
        <is>
          <t>E7 Attempts, scores, time and integrity are fair and explainable</t>
        </is>
      </c>
      <c r="E151" s="17" t="inlineStr">
        <is>
          <t>Attempt state machine</t>
        </is>
      </c>
      <c r="F151" s="15" t="inlineStr">
        <is>
          <t>Not started</t>
        </is>
      </c>
      <c r="G151" s="15" t="n"/>
      <c r="H151" s="15" t="n"/>
    </row>
    <row r="152">
      <c r="A152" s="17" t="inlineStr">
        <is>
          <t>FR-SES-09</t>
        </is>
      </c>
      <c r="B152" s="17" t="inlineStr">
        <is>
          <t>Session lifecycle</t>
        </is>
      </c>
      <c r="C152" s="17" t="inlineStr">
        <is>
          <t>Lab</t>
        </is>
      </c>
      <c r="D152" s="17" t="inlineStr">
        <is>
          <t>E7 Attempts, scores, time and integrity are fair and explainable</t>
        </is>
      </c>
      <c r="E152" s="17" t="inlineStr">
        <is>
          <t>Reset during an assessment</t>
        </is>
      </c>
      <c r="F152" s="15" t="inlineStr">
        <is>
          <t>Not started</t>
        </is>
      </c>
      <c r="G152" s="15" t="n"/>
      <c r="H152" s="15" t="n"/>
    </row>
    <row r="153">
      <c r="A153" s="17" t="inlineStr">
        <is>
          <t>FR-SES-10</t>
        </is>
      </c>
      <c r="B153" s="17" t="inlineStr">
        <is>
          <t>Session lifecycle</t>
        </is>
      </c>
      <c r="C153" s="17" t="inlineStr">
        <is>
          <t>Lab</t>
        </is>
      </c>
      <c r="D153" s="17" t="inlineStr">
        <is>
          <t>E7 Attempts, scores, time and integrity are fair and explainable</t>
        </is>
      </c>
      <c r="E153" s="17" t="inlineStr">
        <is>
          <t>Withdrawal during an assessment</t>
        </is>
      </c>
      <c r="F153" s="15" t="inlineStr">
        <is>
          <t>Not started</t>
        </is>
      </c>
      <c r="G153" s="15" t="n"/>
      <c r="H153" s="15" t="n"/>
    </row>
    <row r="154">
      <c r="A154" s="17" t="inlineStr">
        <is>
          <t>FR-SES-11</t>
        </is>
      </c>
      <c r="B154" s="17" t="inlineStr">
        <is>
          <t>Session lifecycle</t>
        </is>
      </c>
      <c r="C154" s="17" t="inlineStr">
        <is>
          <t>Lab</t>
        </is>
      </c>
      <c r="D154" s="17" t="inlineStr">
        <is>
          <t>E5 Only the owner reaches an instance, and events reach the platform</t>
        </is>
      </c>
      <c r="E154" s="17" t="inlineStr">
        <is>
          <t>One active browser session per candidate</t>
        </is>
      </c>
      <c r="F154" s="15" t="inlineStr">
        <is>
          <t>Not started</t>
        </is>
      </c>
      <c r="G154" s="15" t="n"/>
      <c r="H154" s="15" t="n"/>
    </row>
    <row r="155">
      <c r="A155" s="17" t="inlineStr">
        <is>
          <t>FR-SHP-01</t>
        </is>
      </c>
      <c r="B155" s="17" t="inlineStr">
        <is>
          <t>Shop application</t>
        </is>
      </c>
      <c r="C155" s="17" t="inlineStr">
        <is>
          <t>Target</t>
        </is>
      </c>
      <c r="D155" s="17" t="inlineStr">
        <is>
          <t>E3 A believable marketplace with six roles</t>
        </is>
      </c>
      <c r="E155" s="17" t="inlineStr">
        <is>
          <t>Marketplace identity</t>
        </is>
      </c>
      <c r="F155" s="15" t="inlineStr">
        <is>
          <t>Not started</t>
        </is>
      </c>
      <c r="G155" s="15" t="n"/>
      <c r="H155" s="15" t="n"/>
    </row>
    <row r="156">
      <c r="A156" s="17" t="inlineStr">
        <is>
          <t>FR-SHP-02</t>
        </is>
      </c>
      <c r="B156" s="17" t="inlineStr">
        <is>
          <t>Shop application</t>
        </is>
      </c>
      <c r="C156" s="17" t="inlineStr">
        <is>
          <t>Target</t>
        </is>
      </c>
      <c r="D156" s="17" t="inlineStr">
        <is>
          <t>E3 A believable marketplace with six roles</t>
        </is>
      </c>
      <c r="E156" s="17" t="inlineStr">
        <is>
          <t>Entities</t>
        </is>
      </c>
      <c r="F156" s="15" t="inlineStr">
        <is>
          <t>Not started</t>
        </is>
      </c>
      <c r="G156" s="15" t="n"/>
      <c r="H156" s="15" t="n"/>
    </row>
    <row r="157">
      <c r="A157" s="17" t="inlineStr">
        <is>
          <t>FR-SHP-03</t>
        </is>
      </c>
      <c r="B157" s="17" t="inlineStr">
        <is>
          <t>Shop application</t>
        </is>
      </c>
      <c r="C157" s="17" t="inlineStr">
        <is>
          <t>Target</t>
        </is>
      </c>
      <c r="D157" s="17" t="inlineStr">
        <is>
          <t>E3 A believable marketplace with six roles</t>
        </is>
      </c>
      <c r="E157" s="17" t="inlineStr">
        <is>
          <t>Six roles and permissions</t>
        </is>
      </c>
      <c r="F157" s="15" t="inlineStr">
        <is>
          <t>Not started</t>
        </is>
      </c>
      <c r="G157" s="15" t="n"/>
      <c r="H157" s="15" t="n"/>
    </row>
    <row r="158">
      <c r="A158" s="17" t="inlineStr">
        <is>
          <t>FR-SHP-04</t>
        </is>
      </c>
      <c r="B158" s="17" t="inlineStr">
        <is>
          <t>Shop application</t>
        </is>
      </c>
      <c r="C158" s="17" t="inlineStr">
        <is>
          <t>Target</t>
        </is>
      </c>
      <c r="D158" s="17" t="inlineStr">
        <is>
          <t>E3 A believable marketplace with six roles</t>
        </is>
      </c>
      <c r="E158" s="17" t="inlineStr">
        <is>
          <t>Seven state machines</t>
        </is>
      </c>
      <c r="F158" s="15" t="inlineStr">
        <is>
          <t>Not started</t>
        </is>
      </c>
      <c r="G158" s="15" t="n"/>
      <c r="H158" s="15" t="n"/>
    </row>
    <row r="159">
      <c r="A159" s="17" t="inlineStr">
        <is>
          <t>FR-SHP-05</t>
        </is>
      </c>
      <c r="B159" s="17" t="inlineStr">
        <is>
          <t>Shop application</t>
        </is>
      </c>
      <c r="C159" s="17" t="inlineStr">
        <is>
          <t>Target</t>
        </is>
      </c>
      <c r="D159" s="17" t="inlineStr">
        <is>
          <t>E3 A believable marketplace with six roles</t>
        </is>
      </c>
      <c r="E159" s="17" t="inlineStr">
        <is>
          <t>Customer flows</t>
        </is>
      </c>
      <c r="F159" s="15" t="inlineStr">
        <is>
          <t>Not started</t>
        </is>
      </c>
      <c r="G159" s="15" t="n"/>
      <c r="H159" s="15" t="n"/>
    </row>
    <row r="160">
      <c r="A160" s="17" t="inlineStr">
        <is>
          <t>FR-SHP-06</t>
        </is>
      </c>
      <c r="B160" s="17" t="inlineStr">
        <is>
          <t>Shop application</t>
        </is>
      </c>
      <c r="C160" s="17" t="inlineStr">
        <is>
          <t>Target</t>
        </is>
      </c>
      <c r="D160" s="17" t="inlineStr">
        <is>
          <t>E4 Sellers, refunds, disputes and payouts work correctly</t>
        </is>
      </c>
      <c r="E160" s="17" t="inlineStr">
        <is>
          <t>Seller flows</t>
        </is>
      </c>
      <c r="F160" s="15" t="inlineStr">
        <is>
          <t>Not started</t>
        </is>
      </c>
      <c r="G160" s="15" t="n"/>
      <c r="H160" s="15" t="n"/>
    </row>
    <row r="161">
      <c r="A161" s="17" t="inlineStr">
        <is>
          <t>FR-SHP-07</t>
        </is>
      </c>
      <c r="B161" s="17" t="inlineStr">
        <is>
          <t>Shop application</t>
        </is>
      </c>
      <c r="C161" s="17" t="inlineStr">
        <is>
          <t>Target</t>
        </is>
      </c>
      <c r="D161" s="17" t="inlineStr">
        <is>
          <t>E3 A believable marketplace with six roles</t>
        </is>
      </c>
      <c r="E161" s="17" t="inlineStr">
        <is>
          <t>Support, finance and admin flows</t>
        </is>
      </c>
      <c r="F161" s="15" t="inlineStr">
        <is>
          <t>Not started</t>
        </is>
      </c>
      <c r="G161" s="15" t="n"/>
      <c r="H161" s="15" t="n"/>
    </row>
    <row r="162">
      <c r="A162" s="17" t="inlineStr">
        <is>
          <t>FR-SHP-08</t>
        </is>
      </c>
      <c r="B162" s="17" t="inlineStr">
        <is>
          <t>Shop application</t>
        </is>
      </c>
      <c r="C162" s="17" t="inlineStr">
        <is>
          <t>Target</t>
        </is>
      </c>
      <c r="D162" s="17" t="inlineStr">
        <is>
          <t>E3 A believable marketplace with six roles</t>
        </is>
      </c>
      <c r="E162" s="17" t="inlineStr">
        <is>
          <t>Seeded accounts</t>
        </is>
      </c>
      <c r="F162" s="15" t="inlineStr">
        <is>
          <t>Not started</t>
        </is>
      </c>
      <c r="G162" s="15" t="n"/>
      <c r="H162" s="15" t="n"/>
    </row>
    <row r="163">
      <c r="A163" s="17" t="inlineStr">
        <is>
          <t>FR-SHP-09</t>
        </is>
      </c>
      <c r="B163" s="17" t="inlineStr">
        <is>
          <t>Shop application</t>
        </is>
      </c>
      <c r="C163" s="17" t="inlineStr">
        <is>
          <t>Target</t>
        </is>
      </c>
      <c r="D163" s="17" t="inlineStr">
        <is>
          <t>E3 A believable marketplace with six roles</t>
        </is>
      </c>
      <c r="E163" s="17" t="inlineStr">
        <is>
          <t>Strong hashing in the shop</t>
        </is>
      </c>
      <c r="F163" s="15" t="inlineStr">
        <is>
          <t>Not started</t>
        </is>
      </c>
      <c r="G163" s="15" t="n"/>
      <c r="H163" s="15" t="n"/>
    </row>
    <row r="164">
      <c r="A164" s="17" t="inlineStr">
        <is>
          <t>FR-SHP-10</t>
        </is>
      </c>
      <c r="B164" s="17" t="inlineStr">
        <is>
          <t>Shop application</t>
        </is>
      </c>
      <c r="C164" s="17" t="inlineStr">
        <is>
          <t>Target</t>
        </is>
      </c>
      <c r="D164" s="17" t="inlineStr">
        <is>
          <t>E4 Sellers, refunds, disputes and payouts work correctly</t>
        </is>
      </c>
      <c r="E164" s="17" t="inlineStr">
        <is>
          <t>Refunds, disputes and payouts</t>
        </is>
      </c>
      <c r="F164" s="15" t="inlineStr">
        <is>
          <t>Not started</t>
        </is>
      </c>
      <c r="G164" s="15" t="n"/>
      <c r="H164" s="15" t="n"/>
    </row>
    <row r="165">
      <c r="A165" s="17" t="inlineStr">
        <is>
          <t>FR-SHP-11</t>
        </is>
      </c>
      <c r="B165" s="17" t="inlineStr">
        <is>
          <t>Shop application</t>
        </is>
      </c>
      <c r="C165" s="17" t="inlineStr">
        <is>
          <t>Target</t>
        </is>
      </c>
      <c r="D165" s="17" t="inlineStr">
        <is>
          <t>E2 The shop runs inside an instance: seeding, injection, events, services</t>
        </is>
      </c>
      <c r="E165" s="17" t="inlineStr">
        <is>
          <t>Support-agent bot</t>
        </is>
      </c>
      <c r="F165" s="15" t="inlineStr">
        <is>
          <t>Not started</t>
        </is>
      </c>
      <c r="G165" s="15" t="n"/>
      <c r="H165" s="15" t="n"/>
    </row>
    <row r="166">
      <c r="A166" s="17" t="inlineStr">
        <is>
          <t>FR-SHP-12</t>
        </is>
      </c>
      <c r="B166" s="17" t="inlineStr">
        <is>
          <t>Shop application</t>
        </is>
      </c>
      <c r="C166" s="17" t="inlineStr">
        <is>
          <t>Target</t>
        </is>
      </c>
      <c r="D166" s="17" t="inlineStr">
        <is>
          <t>E2 The shop runs inside an instance: seeding, injection, events, services</t>
        </is>
      </c>
      <c r="E166" s="17" t="inlineStr">
        <is>
          <t>Seeding</t>
        </is>
      </c>
      <c r="F166" s="15" t="inlineStr">
        <is>
          <t>Not started</t>
        </is>
      </c>
      <c r="G166" s="15" t="n"/>
      <c r="H166" s="15" t="n"/>
    </row>
    <row r="167">
      <c r="A167" s="17" t="inlineStr">
        <is>
          <t>FR-SHP-13</t>
        </is>
      </c>
      <c r="B167" s="17" t="inlineStr">
        <is>
          <t>Shop application</t>
        </is>
      </c>
      <c r="C167" s="17" t="inlineStr">
        <is>
          <t>Target</t>
        </is>
      </c>
      <c r="D167" s="17" t="inlineStr">
        <is>
          <t>E2 The shop runs inside an instance: seeding, injection, events, services</t>
        </is>
      </c>
      <c r="E167" s="17" t="inlineStr">
        <is>
          <t>Mock services</t>
        </is>
      </c>
      <c r="F167" s="15" t="inlineStr">
        <is>
          <t>Not started</t>
        </is>
      </c>
      <c r="G167" s="15" t="n"/>
      <c r="H167" s="15" t="n"/>
    </row>
    <row r="168">
      <c r="A168" s="17" t="inlineStr">
        <is>
          <t>FR-SHP-14</t>
        </is>
      </c>
      <c r="B168" s="17" t="inlineStr">
        <is>
          <t>Shop application</t>
        </is>
      </c>
      <c r="C168" s="17" t="inlineStr">
        <is>
          <t>Target</t>
        </is>
      </c>
      <c r="D168" s="17" t="inlineStr">
        <is>
          <t>E2 The shop runs inside an instance: seeding, injection, events, services</t>
        </is>
      </c>
      <c r="E168" s="17" t="inlineStr">
        <is>
          <t>Shop boundaries</t>
        </is>
      </c>
      <c r="F168" s="15" t="inlineStr">
        <is>
          <t>Not started</t>
        </is>
      </c>
      <c r="G168" s="15" t="n"/>
      <c r="H168" s="15" t="n"/>
    </row>
    <row r="169">
      <c r="A169" s="17" t="inlineStr">
        <is>
          <t>FR-SHP-15</t>
        </is>
      </c>
      <c r="B169" s="17" t="inlineStr">
        <is>
          <t>Shop application</t>
        </is>
      </c>
      <c r="C169" s="17" t="inlineStr">
        <is>
          <t>Target</t>
        </is>
      </c>
      <c r="D169" s="17" t="inlineStr">
        <is>
          <t>E2 The shop runs inside an instance: seeding, injection, events, services</t>
        </is>
      </c>
      <c r="E169" s="17" t="inlineStr">
        <is>
          <t>Health and runtime profile</t>
        </is>
      </c>
      <c r="F169" s="15" t="inlineStr">
        <is>
          <t>Not started</t>
        </is>
      </c>
      <c r="G169" s="15" t="n"/>
      <c r="H169" s="15" t="n"/>
    </row>
    <row r="170">
      <c r="A170" s="17" t="inlineStr">
        <is>
          <t>FR-TIM-01</t>
        </is>
      </c>
      <c r="B170" s="17" t="inlineStr">
        <is>
          <t>Time taken</t>
        </is>
      </c>
      <c r="C170" s="17" t="inlineStr">
        <is>
          <t>Lab</t>
        </is>
      </c>
      <c r="D170" s="17" t="inlineStr">
        <is>
          <t>E7 Attempts, scores, time and integrity are fair and explainable</t>
        </is>
      </c>
      <c r="E170" s="17" t="inlineStr">
        <is>
          <t>Headline time to capture</t>
        </is>
      </c>
      <c r="F170" s="15" t="inlineStr">
        <is>
          <t>Not started</t>
        </is>
      </c>
      <c r="G170" s="15" t="n"/>
      <c r="H170" s="15" t="n"/>
    </row>
    <row r="171">
      <c r="A171" s="17" t="inlineStr">
        <is>
          <t>FR-TIM-02</t>
        </is>
      </c>
      <c r="B171" s="17" t="inlineStr">
        <is>
          <t>Time taken</t>
        </is>
      </c>
      <c r="C171" s="17" t="inlineStr">
        <is>
          <t>Lab</t>
        </is>
      </c>
      <c r="D171" s="17" t="inlineStr">
        <is>
          <t>E7 Attempts, scores, time and integrity are fair and explainable</t>
        </is>
      </c>
      <c r="E171" s="17" t="inlineStr">
        <is>
          <t>Estimated active time</t>
        </is>
      </c>
      <c r="F171" s="15" t="inlineStr">
        <is>
          <t>Not started</t>
        </is>
      </c>
      <c r="G171" s="15" t="n"/>
      <c r="H171" s="15" t="n"/>
    </row>
    <row r="172">
      <c r="A172" s="17" t="inlineStr">
        <is>
          <t>FR-TIM-03</t>
        </is>
      </c>
      <c r="B172" s="17" t="inlineStr">
        <is>
          <t>Time taken</t>
        </is>
      </c>
      <c r="C172" s="17" t="inlineStr">
        <is>
          <t>Lab</t>
        </is>
      </c>
      <c r="D172" s="17" t="inlineStr">
        <is>
          <t>E7 Attempts, scores, time and integrity are fair and explainable</t>
        </is>
      </c>
      <c r="E172" s="17" t="inlineStr">
        <is>
          <t>Resets and retries</t>
        </is>
      </c>
      <c r="F172" s="15" t="inlineStr">
        <is>
          <t>Not started</t>
        </is>
      </c>
      <c r="G172" s="15" t="n"/>
      <c r="H172" s="15" t="n"/>
    </row>
    <row r="173">
      <c r="A173" s="17" t="inlineStr">
        <is>
          <t>FR-TIM-04</t>
        </is>
      </c>
      <c r="B173" s="17" t="inlineStr">
        <is>
          <t>Time taken</t>
        </is>
      </c>
      <c r="C173" s="17" t="inlineStr">
        <is>
          <t>Lab</t>
        </is>
      </c>
      <c r="D173" s="17" t="inlineStr">
        <is>
          <t>E7 Attempts, scores, time and integrity are fair and explainable</t>
        </is>
      </c>
      <c r="E173" s="17" t="inlineStr">
        <is>
          <t>Event log</t>
        </is>
      </c>
      <c r="F173" s="15" t="inlineStr">
        <is>
          <t>Not started</t>
        </is>
      </c>
      <c r="G173" s="15" t="n"/>
      <c r="H173" s="15" t="n"/>
    </row>
    <row r="174">
      <c r="A174" s="17" t="inlineStr">
        <is>
          <t>FR-TIM-05</t>
        </is>
      </c>
      <c r="B174" s="17" t="inlineStr">
        <is>
          <t>Time taken</t>
        </is>
      </c>
      <c r="C174" s="17" t="inlineStr">
        <is>
          <t>Lab</t>
        </is>
      </c>
      <c r="D174" s="17" t="inlineStr">
        <is>
          <t>E7 Attempts, scores, time and integrity are fair and explainable</t>
        </is>
      </c>
      <c r="E174" s="17" t="inlineStr">
        <is>
          <t>Robust clock</t>
        </is>
      </c>
      <c r="F174" s="15" t="inlineStr">
        <is>
          <t>Not started</t>
        </is>
      </c>
      <c r="G174" s="15" t="n"/>
      <c r="H174" s="15" t="n"/>
    </row>
  </sheetData>
  <autoFilter ref="A4:H174"/>
  <dataValidations count="1">
    <dataValidation sqref="F5:F174" showDropDown="0" showInputMessage="0" showErrorMessage="0" allowBlank="1" type="list">
      <formula1>"Not started,In progress,Implemented,Verified,Blocked"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2026-10-08T12:20:26Z</dcterms:created>
  <dcterms:modified xmlns:dcterms="http://purl.org/dc/terms/" xmlns:xsi="http://www.w3.org/2001/XMLSchema-instance" xsi:type="dcterms:W3CDTF">2026-10-08T12:20:26Z</dcterms:modified>
</cp:coreProperties>
</file>